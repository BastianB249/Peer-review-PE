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er_Table" sheetId="1" state="visible" r:id="rId1"/>
    <sheet name="Instructions" sheetId="2" state="visible" r:id="rId2"/>
    <sheet name="WACC_Model" sheetId="3" state="visible" r:id="rId3"/>
  </sheets>
  <definedNames>
    <definedName name="_xlnm._FilterDatabase" localSheetId="0" hidden="1">'Peer_Table'!$A$2:$AD$15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6" customWidth="1" min="4" max="4"/>
    <col width="10" customWidth="1" min="5" max="5"/>
    <col width="14" customWidth="1" min="6" max="6"/>
    <col width="18" customWidth="1" min="7" max="7"/>
    <col width="20" customWidth="1" min="8" max="8"/>
    <col width="18" customWidth="1" min="9" max="9"/>
    <col width="10" customWidth="1" min="10" max="10"/>
    <col width="18" customWidth="1" min="11" max="11"/>
    <col width="20" customWidth="1" min="12" max="12"/>
    <col width="22" customWidth="1" min="13" max="13"/>
    <col width="18" customWidth="1" min="14" max="14"/>
  </cols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Selected (1/0)</t>
        </is>
      </c>
      <c r="D1" s="1" t="inlineStr">
        <is>
          <t>Selection rationale</t>
        </is>
      </c>
      <c r="E1" s="1" t="inlineStr">
        <is>
          <t>Currency</t>
        </is>
      </c>
      <c r="F1" s="1" t="inlineStr">
        <is>
          <t>Share Price (CCY)</t>
        </is>
      </c>
      <c r="G1" s="1" t="inlineStr">
        <is>
          <t>Market Cap (CCY m)</t>
        </is>
      </c>
      <c r="H1" s="1" t="inlineStr">
        <is>
          <t>Enterprise Value (CCY m)</t>
        </is>
      </c>
      <c r="I1" s="1" t="inlineStr">
        <is>
          <t>Net Debt (CCY m)</t>
        </is>
      </c>
      <c r="J1" s="1" t="inlineStr">
        <is>
          <t>Equity Beta</t>
        </is>
      </c>
      <c r="K1" s="1" t="inlineStr">
        <is>
          <t>FX to EUR</t>
        </is>
      </c>
      <c r="L1" s="1" t="inlineStr">
        <is>
          <t>Share Price (EUR)</t>
        </is>
      </c>
      <c r="M1" s="1" t="inlineStr">
        <is>
          <t>Market Cap (EUR m)</t>
        </is>
      </c>
      <c r="N1" s="1" t="inlineStr">
        <is>
          <t>Enterprise Value (EUR m)</t>
        </is>
      </c>
      <c r="O1" s="1" t="inlineStr">
        <is>
          <t>Net Debt (EUR m)</t>
        </is>
      </c>
      <c r="P1" s="1" t="inlineStr">
        <is>
          <t>Revenue (CCY m)</t>
        </is>
      </c>
      <c r="R1" s="1" t="inlineStr">
        <is>
          <t>EBITDA (CCY m)</t>
        </is>
      </c>
      <c r="T1" s="1" t="inlineStr">
        <is>
          <t>EBIT (CCY m)</t>
        </is>
      </c>
      <c r="V1" s="1" t="inlineStr">
        <is>
          <t>EV/Sales</t>
        </is>
      </c>
      <c r="X1" s="1" t="inlineStr">
        <is>
          <t>EV/EBITDA</t>
        </is>
      </c>
      <c r="Z1" s="1" t="inlineStr">
        <is>
          <t>EV/EBIT</t>
        </is>
      </c>
      <c r="AB1" s="1" t="inlineStr">
        <is>
          <t>Net Debt/EBITDA</t>
        </is>
      </c>
      <c r="AC1" s="1" t="inlineStr">
        <is>
          <t>EBITDA Margin</t>
        </is>
      </c>
    </row>
    <row r="2">
      <c r="P2" s="1" t="inlineStr">
        <is>
          <t>2023</t>
        </is>
      </c>
      <c r="Q2" s="1" t="inlineStr">
        <is>
          <t>2024</t>
        </is>
      </c>
      <c r="R2" s="1" t="inlineStr">
        <is>
          <t>2023</t>
        </is>
      </c>
      <c r="S2" s="1" t="inlineStr">
        <is>
          <t>2024</t>
        </is>
      </c>
      <c r="T2" s="1" t="inlineStr">
        <is>
          <t>2023</t>
        </is>
      </c>
      <c r="U2" s="1" t="inlineStr">
        <is>
          <t>2024</t>
        </is>
      </c>
      <c r="V2" s="1" t="inlineStr">
        <is>
          <t>2023</t>
        </is>
      </c>
      <c r="W2" s="1" t="inlineStr">
        <is>
          <t>2024</t>
        </is>
      </c>
      <c r="X2" s="1" t="inlineStr">
        <is>
          <t>2023</t>
        </is>
      </c>
      <c r="Y2" s="1" t="inlineStr">
        <is>
          <t>2024</t>
        </is>
      </c>
      <c r="Z2" s="1" t="inlineStr">
        <is>
          <t>2023</t>
        </is>
      </c>
      <c r="AA2" s="1" t="inlineStr">
        <is>
          <t>2024</t>
        </is>
      </c>
      <c r="AC2" s="1" t="inlineStr">
        <is>
          <t>2023</t>
        </is>
      </c>
      <c r="AD2" s="1" t="inlineStr">
        <is>
          <t>2024</t>
        </is>
      </c>
    </row>
    <row r="3">
      <c r="A3" s="2" t="inlineStr">
        <is>
          <t>Aalberts</t>
        </is>
      </c>
      <c r="B3" s="2" t="inlineStr">
        <is>
          <t>AALB.AS</t>
        </is>
      </c>
      <c r="C3" s="2" t="n">
        <v>1</v>
      </c>
      <c r="D3" s="2" t="inlineStr">
        <is>
          <t>Closest diversified industrial technology peer</t>
        </is>
      </c>
      <c r="E3" s="2" t="inlineStr">
        <is>
          <t>EUR</t>
        </is>
      </c>
      <c r="F3" s="2" t="n">
        <v>34.47999954223633</v>
      </c>
      <c r="G3" s="2" t="n">
        <v>3738.65856</v>
      </c>
      <c r="H3" s="2" t="n">
        <v>4813.855744</v>
      </c>
      <c r="I3" s="2" t="n">
        <v>596.8</v>
      </c>
      <c r="J3" s="2" t="n">
        <v>1.264</v>
      </c>
      <c r="K3" s="2" t="n">
        <v>1</v>
      </c>
      <c r="L3" s="2" t="n">
        <v>34.47999954223633</v>
      </c>
      <c r="M3" s="2" t="n">
        <v>3738.65856</v>
      </c>
      <c r="N3" s="2" t="n">
        <v>4813.855744</v>
      </c>
      <c r="O3" s="2" t="n">
        <v>596.8</v>
      </c>
      <c r="P3" s="2" t="n">
        <v>3324</v>
      </c>
      <c r="Q3" s="2" t="n">
        <v>3148.6</v>
      </c>
      <c r="R3" s="2" t="n">
        <v>658.8</v>
      </c>
      <c r="S3" s="2" t="n">
        <v>511.1</v>
      </c>
      <c r="T3" s="2" t="n">
        <v>459.6</v>
      </c>
      <c r="U3" s="2" t="n">
        <v>292.6</v>
      </c>
      <c r="V3" s="2">
        <f>IF(OR(P3="",P3=0),"",H3/P3)</f>
        <v/>
      </c>
      <c r="W3" s="2">
        <f>IF(OR(Q3="",Q3=0),"",H3/Q3)</f>
        <v/>
      </c>
      <c r="X3" s="2">
        <f>IF(OR(R3="",R3=0),"",H3/R3)</f>
        <v/>
      </c>
      <c r="Y3" s="2">
        <f>IF(OR(S3="",S3=0),"",H3/S3)</f>
        <v/>
      </c>
      <c r="Z3" s="2">
        <f>IF(OR(T3="",T3=0),"",H3/T3)</f>
        <v/>
      </c>
      <c r="AA3" s="2">
        <f>IF(OR(U3="",U3=0),"",H3/U3)</f>
        <v/>
      </c>
      <c r="AB3" s="2">
        <f>IF(OR(S3="",S3=0),"",I3/S3)</f>
        <v/>
      </c>
      <c r="AC3" s="2">
        <f>IF(OR(P3="",P3=0),"",R3/P3)</f>
        <v/>
      </c>
      <c r="AD3" s="2">
        <f>IF(OR(Q3="",Q3=0),"",S3/Q3)</f>
        <v/>
      </c>
    </row>
    <row r="4">
      <c r="A4" s="2" t="inlineStr">
        <is>
          <t>Dürr AG</t>
        </is>
      </c>
      <c r="B4" s="2" t="inlineStr">
        <is>
          <t>DUE.DE</t>
        </is>
      </c>
      <c r="C4" s="2" t="n">
        <v>1</v>
      </c>
      <c r="D4" s="2" t="inlineStr">
        <is>
          <t>Industrial automation/manufacturing systems exposure comparable to TKH</t>
        </is>
      </c>
      <c r="E4" s="2" t="inlineStr">
        <is>
          <t>EUR</t>
        </is>
      </c>
      <c r="F4" s="2" t="n">
        <v>23.14999961853027</v>
      </c>
      <c r="G4" s="2" t="n">
        <v>1602.02816</v>
      </c>
      <c r="H4" s="2" t="n">
        <v>2059.120128</v>
      </c>
      <c r="I4" s="2" t="n">
        <v>493.626</v>
      </c>
      <c r="J4" s="2" t="n">
        <v>1.33</v>
      </c>
      <c r="K4" s="2" t="n">
        <v>1</v>
      </c>
      <c r="L4" s="2" t="n">
        <v>23.14999961853027</v>
      </c>
      <c r="M4" s="2" t="n">
        <v>1602.02816</v>
      </c>
      <c r="N4" s="2" t="n">
        <v>2059.120128</v>
      </c>
      <c r="O4" s="2" t="n">
        <v>493.626</v>
      </c>
      <c r="P4" s="2" t="n">
        <v>4196.029</v>
      </c>
      <c r="Q4" s="2" t="n">
        <v>4290.936</v>
      </c>
      <c r="R4" s="2" t="n">
        <v>303.593</v>
      </c>
      <c r="S4" s="2" t="n">
        <v>345.838</v>
      </c>
      <c r="T4" s="2" t="n">
        <v>172.792</v>
      </c>
      <c r="U4" s="2" t="n">
        <v>183.517</v>
      </c>
      <c r="V4" s="2">
        <f>IF(OR(P4="",P4=0),"",H4/P4)</f>
        <v/>
      </c>
      <c r="W4" s="2">
        <f>IF(OR(Q4="",Q4=0),"",H4/Q4)</f>
        <v/>
      </c>
      <c r="X4" s="2">
        <f>IF(OR(R4="",R4=0),"",H4/R4)</f>
        <v/>
      </c>
      <c r="Y4" s="2">
        <f>IF(OR(S4="",S4=0),"",H4/S4)</f>
        <v/>
      </c>
      <c r="Z4" s="2">
        <f>IF(OR(T4="",T4=0),"",H4/T4)</f>
        <v/>
      </c>
      <c r="AA4" s="2">
        <f>IF(OR(U4="",U4=0),"",H4/U4)</f>
        <v/>
      </c>
      <c r="AB4" s="2">
        <f>IF(OR(S4="",S4=0),"",I4/S4)</f>
        <v/>
      </c>
      <c r="AC4" s="2">
        <f>IF(OR(P4="",P4=0),"",R4/P4)</f>
        <v/>
      </c>
      <c r="AD4" s="2">
        <f>IF(OR(Q4="",Q4=0),"",S4/Q4)</f>
        <v/>
      </c>
    </row>
    <row r="5">
      <c r="A5" s="2" t="inlineStr">
        <is>
          <t>Basler</t>
        </is>
      </c>
      <c r="B5" s="2" t="inlineStr">
        <is>
          <t>BSL.DE</t>
        </is>
      </c>
      <c r="C5" s="2" t="n">
        <v>1</v>
      </c>
      <c r="D5" s="2" t="inlineStr">
        <is>
          <t>Direct machine vision hardware/software comparable</t>
        </is>
      </c>
      <c r="E5" s="2" t="inlineStr">
        <is>
          <t>EUR</t>
        </is>
      </c>
      <c r="F5" s="2" t="n">
        <v>15.65999984741211</v>
      </c>
      <c r="G5" s="2" t="n">
        <v>481.507904</v>
      </c>
      <c r="H5" s="2" t="n">
        <v>522.99792</v>
      </c>
      <c r="I5" s="2" t="n">
        <v>50.76</v>
      </c>
      <c r="J5" s="2" t="n">
        <v>2.419</v>
      </c>
      <c r="K5" s="2" t="n">
        <v>1</v>
      </c>
      <c r="L5" s="2" t="n">
        <v>15.65999984741211</v>
      </c>
      <c r="M5" s="2" t="n">
        <v>481.507904</v>
      </c>
      <c r="N5" s="2" t="n">
        <v>522.99792</v>
      </c>
      <c r="O5" s="2" t="n">
        <v>50.76</v>
      </c>
      <c r="P5" s="2" t="n">
        <v>201.813</v>
      </c>
      <c r="Q5" s="2" t="n">
        <v>184.926</v>
      </c>
      <c r="R5" s="2" t="n">
        <v>5.223</v>
      </c>
      <c r="S5" s="2" t="n">
        <v>9.438000000000001</v>
      </c>
      <c r="T5" s="2" t="n">
        <v>-18.377</v>
      </c>
      <c r="U5" s="2" t="n">
        <v>-10.357</v>
      </c>
      <c r="V5" s="2">
        <f>IF(OR(P5="",P5=0),"",H5/P5)</f>
        <v/>
      </c>
      <c r="W5" s="2">
        <f>IF(OR(Q5="",Q5=0),"",H5/Q5)</f>
        <v/>
      </c>
      <c r="X5" s="2">
        <f>IF(OR(R5="",R5=0),"",H5/R5)</f>
        <v/>
      </c>
      <c r="Y5" s="2">
        <f>IF(OR(S5="",S5=0),"",H5/S5)</f>
        <v/>
      </c>
      <c r="Z5" s="2">
        <f>IF(OR(T5="",T5=0),"",H5/T5)</f>
        <v/>
      </c>
      <c r="AA5" s="2">
        <f>IF(OR(U5="",U5=0),"",H5/U5)</f>
        <v/>
      </c>
      <c r="AB5" s="2">
        <f>IF(OR(S5="",S5=0),"",I5/S5)</f>
        <v/>
      </c>
      <c r="AC5" s="2">
        <f>IF(OR(P5="",P5=0),"",R5/P5)</f>
        <v/>
      </c>
      <c r="AD5" s="2">
        <f>IF(OR(Q5="",Q5=0),"",S5/Q5)</f>
        <v/>
      </c>
    </row>
    <row r="6">
      <c r="A6" s="2" t="inlineStr">
        <is>
          <t>Cognex</t>
        </is>
      </c>
      <c r="B6" s="2" t="inlineStr">
        <is>
          <t>COGX</t>
        </is>
      </c>
      <c r="C6" s="2" t="n">
        <v>1</v>
      </c>
      <c r="D6" s="2" t="inlineStr">
        <is>
          <t>Global machine vision leader benchmark</t>
        </is>
      </c>
      <c r="E6" s="2" t="inlineStr">
        <is>
          <t>USD</t>
        </is>
      </c>
      <c r="F6" s="2" t="n">
        <v>42.36999893188477</v>
      </c>
      <c r="G6" s="2" t="n">
        <v>7101.129216</v>
      </c>
      <c r="H6" s="2" t="n">
        <v>6879.788544</v>
      </c>
      <c r="I6" s="2" t="n">
        <v>-115.877</v>
      </c>
      <c r="J6" s="2" t="n">
        <v>1.534</v>
      </c>
      <c r="K6" s="2" t="n">
        <v>0.849049985408783</v>
      </c>
      <c r="L6" s="2" t="n">
        <v>35.97424697488691</v>
      </c>
      <c r="M6" s="2" t="n">
        <v>6029.213657230683</v>
      </c>
      <c r="N6" s="2" t="n">
        <v>5841.284362898712</v>
      </c>
      <c r="O6" s="2" t="n">
        <v>-98.38536515921353</v>
      </c>
      <c r="P6" s="2" t="n">
        <v>837.547</v>
      </c>
      <c r="Q6" s="2" t="n">
        <v>914.515</v>
      </c>
      <c r="R6" s="2" t="n">
        <v>144.582</v>
      </c>
      <c r="S6" s="2" t="n">
        <v>147.754</v>
      </c>
      <c r="T6" s="2" t="n">
        <v>122.702</v>
      </c>
      <c r="U6" s="2" t="n">
        <v>115.065</v>
      </c>
      <c r="V6" s="2">
        <f>IF(OR(P6="",P6=0),"",H6/P6)</f>
        <v/>
      </c>
      <c r="W6" s="2">
        <f>IF(OR(Q6="",Q6=0),"",H6/Q6)</f>
        <v/>
      </c>
      <c r="X6" s="2">
        <f>IF(OR(R6="",R6=0),"",H6/R6)</f>
        <v/>
      </c>
      <c r="Y6" s="2">
        <f>IF(OR(S6="",S6=0),"",H6/S6)</f>
        <v/>
      </c>
      <c r="Z6" s="2">
        <f>IF(OR(T6="",T6=0),"",H6/T6)</f>
        <v/>
      </c>
      <c r="AA6" s="2">
        <f>IF(OR(U6="",U6=0),"",H6/U6)</f>
        <v/>
      </c>
      <c r="AB6" s="2">
        <f>IF(OR(S6="",S6=0),"",I6/S6)</f>
        <v/>
      </c>
      <c r="AC6" s="2">
        <f>IF(OR(P6="",P6=0),"",R6/P6)</f>
        <v/>
      </c>
      <c r="AD6" s="2">
        <f>IF(OR(Q6="",Q6=0),"",S6/Q6)</f>
        <v/>
      </c>
    </row>
    <row r="7">
      <c r="A7" s="2" t="inlineStr">
        <is>
          <t>Jenoptik</t>
        </is>
      </c>
      <c r="B7" s="2" t="inlineStr">
        <is>
          <t>JEN.DE</t>
        </is>
      </c>
      <c r="C7" s="2" t="n">
        <v>1</v>
      </c>
      <c r="D7" s="2" t="inlineStr">
        <is>
          <t>Photonics and optical systems overlap</t>
        </is>
      </c>
      <c r="E7" s="2" t="inlineStr">
        <is>
          <t>EUR</t>
        </is>
      </c>
      <c r="F7" s="2" t="n">
        <v>26.21999931335449</v>
      </c>
      <c r="G7" s="2" t="n">
        <v>1500.78336</v>
      </c>
      <c r="H7" s="2" t="n">
        <v>1874.880512</v>
      </c>
      <c r="I7" s="2" t="n">
        <v>396.219</v>
      </c>
      <c r="J7" s="2" t="n">
        <v>1.25</v>
      </c>
      <c r="K7" s="2" t="n">
        <v>1</v>
      </c>
      <c r="L7" s="2" t="n">
        <v>26.21999931335449</v>
      </c>
      <c r="M7" s="2" t="n">
        <v>1500.78336</v>
      </c>
      <c r="N7" s="2" t="n">
        <v>1874.880512</v>
      </c>
      <c r="O7" s="2" t="n">
        <v>396.219</v>
      </c>
      <c r="P7" s="2" t="n">
        <v>1066.048</v>
      </c>
      <c r="Q7" s="2" t="n">
        <v>1115.787</v>
      </c>
      <c r="R7" s="2" t="n">
        <v>198.693</v>
      </c>
      <c r="S7" s="2" t="n">
        <v>220.838</v>
      </c>
      <c r="T7" s="2" t="n">
        <v>127.823</v>
      </c>
      <c r="U7" s="2" t="n">
        <v>145.926</v>
      </c>
      <c r="V7" s="2">
        <f>IF(OR(P7="",P7=0),"",H7/P7)</f>
        <v/>
      </c>
      <c r="W7" s="2">
        <f>IF(OR(Q7="",Q7=0),"",H7/Q7)</f>
        <v/>
      </c>
      <c r="X7" s="2">
        <f>IF(OR(R7="",R7=0),"",H7/R7)</f>
        <v/>
      </c>
      <c r="Y7" s="2">
        <f>IF(OR(S7="",S7=0),"",H7/S7)</f>
        <v/>
      </c>
      <c r="Z7" s="2">
        <f>IF(OR(T7="",T7=0),"",H7/T7)</f>
        <v/>
      </c>
      <c r="AA7" s="2">
        <f>IF(OR(U7="",U7=0),"",H7/U7)</f>
        <v/>
      </c>
      <c r="AB7" s="2">
        <f>IF(OR(S7="",S7=0),"",I7/S7)</f>
        <v/>
      </c>
      <c r="AC7" s="2">
        <f>IF(OR(P7="",P7=0),"",R7/P7)</f>
        <v/>
      </c>
      <c r="AD7" s="2">
        <f>IF(OR(Q7="",Q7=0),"",S7/Q7)</f>
        <v/>
      </c>
    </row>
    <row r="8">
      <c r="A8" s="2" t="inlineStr">
        <is>
          <t>Huber+Suhner</t>
        </is>
      </c>
      <c r="B8" s="2" t="inlineStr">
        <is>
          <t>HUBN.SW</t>
        </is>
      </c>
      <c r="C8" s="2" t="n">
        <v>1</v>
      </c>
      <c r="D8" s="2" t="inlineStr">
        <is>
          <t>Connectivity and industrial cabling exposure</t>
        </is>
      </c>
      <c r="E8" s="2" t="inlineStr">
        <is>
          <t>CHF</t>
        </is>
      </c>
      <c r="F8" s="2" t="n">
        <v>173.3999938964844</v>
      </c>
      <c r="G8" s="2" t="n">
        <v>3199.812608</v>
      </c>
      <c r="H8" s="2" t="n">
        <v>3019.964416</v>
      </c>
      <c r="I8" s="2" t="n">
        <v>-174.133</v>
      </c>
      <c r="J8" s="2" t="n">
        <v>0.725</v>
      </c>
      <c r="K8" s="2" t="n">
        <v>1.091583967208862</v>
      </c>
      <c r="L8" s="2" t="n">
        <v>189.2806532515169</v>
      </c>
      <c r="M8" s="2" t="n">
        <v>3492.864140965577</v>
      </c>
      <c r="N8" s="2" t="n">
        <v>3296.544738046875</v>
      </c>
      <c r="O8" s="2" t="n">
        <v>-190.0807909619808</v>
      </c>
      <c r="P8" s="2" t="n">
        <v>851.062</v>
      </c>
      <c r="Q8" s="2" t="n">
        <v>893.874</v>
      </c>
      <c r="R8" s="2" t="n">
        <v>107.607</v>
      </c>
      <c r="S8" s="2" t="n">
        <v>121.844</v>
      </c>
      <c r="T8" s="2" t="n">
        <v>74.667</v>
      </c>
      <c r="U8" s="2" t="n">
        <v>85.85899999999999</v>
      </c>
      <c r="V8" s="2">
        <f>IF(OR(P8="",P8=0),"",H8/P8)</f>
        <v/>
      </c>
      <c r="W8" s="2">
        <f>IF(OR(Q8="",Q8=0),"",H8/Q8)</f>
        <v/>
      </c>
      <c r="X8" s="2">
        <f>IF(OR(R8="",R8=0),"",H8/R8)</f>
        <v/>
      </c>
      <c r="Y8" s="2">
        <f>IF(OR(S8="",S8=0),"",H8/S8)</f>
        <v/>
      </c>
      <c r="Z8" s="2">
        <f>IF(OR(T8="",T8=0),"",H8/T8)</f>
        <v/>
      </c>
      <c r="AA8" s="2">
        <f>IF(OR(U8="",U8=0),"",H8/U8)</f>
        <v/>
      </c>
      <c r="AB8" s="2">
        <f>IF(OR(S8="",S8=0),"",I8/S8)</f>
        <v/>
      </c>
      <c r="AC8" s="2">
        <f>IF(OR(P8="",P8=0),"",R8/P8)</f>
        <v/>
      </c>
      <c r="AD8" s="2">
        <f>IF(OR(Q8="",Q8=0),"",S8/Q8)</f>
        <v/>
      </c>
    </row>
    <row r="9">
      <c r="A9" s="2" t="inlineStr">
        <is>
          <t>NKT</t>
        </is>
      </c>
      <c r="B9" s="2" t="inlineStr">
        <is>
          <t>NKT.CO</t>
        </is>
      </c>
      <c r="C9" s="2" t="n">
        <v>1</v>
      </c>
      <c r="D9" s="2" t="inlineStr">
        <is>
          <t>Power/subsea cable and electrification exposure</t>
        </is>
      </c>
      <c r="E9" s="2" t="inlineStr">
        <is>
          <t>DKK</t>
        </is>
      </c>
      <c r="F9" s="2" t="n">
        <v>824.5</v>
      </c>
      <c r="G9" s="2" t="n">
        <v>44069.896192</v>
      </c>
      <c r="H9" s="2" t="n">
        <v>43652.141056</v>
      </c>
      <c r="I9" s="2" t="n">
        <v>-1280</v>
      </c>
      <c r="J9" s="2" t="n">
        <v>0.68</v>
      </c>
      <c r="K9" s="2" t="n">
        <v>0.1339060068130493</v>
      </c>
      <c r="L9" s="2" t="n">
        <v>110.4055026173592</v>
      </c>
      <c r="M9" s="2" t="n">
        <v>5901.223819736329</v>
      </c>
      <c r="N9" s="2" t="n">
        <v>5845.283897648926</v>
      </c>
      <c r="O9" s="2" t="n">
        <v>-171.3996887207031</v>
      </c>
      <c r="P9" s="2" t="n">
        <v>2567</v>
      </c>
      <c r="Q9" s="2" t="n">
        <v>3252</v>
      </c>
      <c r="R9" s="2" t="n">
        <v>249</v>
      </c>
      <c r="S9" s="2" t="n">
        <v>384</v>
      </c>
      <c r="T9" s="2" t="n">
        <v>159</v>
      </c>
      <c r="U9" s="2" t="n">
        <v>282</v>
      </c>
      <c r="V9" s="2">
        <f>IF(OR(P9="",P9=0),"",H9/P9)</f>
        <v/>
      </c>
      <c r="W9" s="2">
        <f>IF(OR(Q9="",Q9=0),"",H9/Q9)</f>
        <v/>
      </c>
      <c r="X9" s="2">
        <f>IF(OR(R9="",R9=0),"",H9/R9)</f>
        <v/>
      </c>
      <c r="Y9" s="2">
        <f>IF(OR(S9="",S9=0),"",H9/S9)</f>
        <v/>
      </c>
      <c r="Z9" s="2">
        <f>IF(OR(T9="",T9=0),"",H9/T9)</f>
        <v/>
      </c>
      <c r="AA9" s="2">
        <f>IF(OR(U9="",U9=0),"",H9/U9)</f>
        <v/>
      </c>
      <c r="AB9" s="2">
        <f>IF(OR(S9="",S9=0),"",I9/S9)</f>
        <v/>
      </c>
      <c r="AC9" s="2">
        <f>IF(OR(P9="",P9=0),"",R9/P9)</f>
        <v/>
      </c>
      <c r="AD9" s="2">
        <f>IF(OR(Q9="",Q9=0),"",S9/Q9)</f>
        <v/>
      </c>
    </row>
    <row r="10">
      <c r="A10" s="2" t="inlineStr">
        <is>
          <t>Mersen</t>
        </is>
      </c>
      <c r="B10" s="2" t="inlineStr">
        <is>
          <t>MRN.PA</t>
        </is>
      </c>
      <c r="C10" s="2" t="n">
        <v>1</v>
      </c>
      <c r="D10" s="2" t="inlineStr">
        <is>
          <t>Electrical components and power management peer</t>
        </is>
      </c>
      <c r="E10" s="2" t="inlineStr">
        <is>
          <t>EUR</t>
        </is>
      </c>
      <c r="F10" s="2" t="n">
        <v>25.89999961853027</v>
      </c>
      <c r="G10" s="2" t="n">
        <v>630.563904</v>
      </c>
      <c r="H10" s="2" t="n">
        <v>1107.787904</v>
      </c>
      <c r="I10" s="2" t="n">
        <v>426.2</v>
      </c>
      <c r="J10" s="2" t="n">
        <v>1.331</v>
      </c>
      <c r="K10" s="2" t="n">
        <v>1</v>
      </c>
      <c r="L10" s="2" t="n">
        <v>25.89999961853027</v>
      </c>
      <c r="M10" s="2" t="n">
        <v>630.563904</v>
      </c>
      <c r="N10" s="2" t="n">
        <v>1107.787904</v>
      </c>
      <c r="O10" s="2" t="n">
        <v>426.2</v>
      </c>
      <c r="P10" s="2" t="n">
        <v>1210.9</v>
      </c>
      <c r="Q10" s="2" t="n">
        <v>1243.6</v>
      </c>
      <c r="R10" s="2" t="n">
        <v>191.4</v>
      </c>
      <c r="S10" s="2" t="n">
        <v>176.5</v>
      </c>
      <c r="T10" s="2" t="n">
        <v>126</v>
      </c>
      <c r="U10" s="2" t="n">
        <v>102</v>
      </c>
      <c r="V10" s="2">
        <f>IF(OR(P10="",P10=0),"",H10/P10)</f>
        <v/>
      </c>
      <c r="W10" s="2">
        <f>IF(OR(Q10="",Q10=0),"",H10/Q10)</f>
        <v/>
      </c>
      <c r="X10" s="2">
        <f>IF(OR(R10="",R10=0),"",H10/R10)</f>
        <v/>
      </c>
      <c r="Y10" s="2">
        <f>IF(OR(S10="",S10=0),"",H10/S10)</f>
        <v/>
      </c>
      <c r="Z10" s="2">
        <f>IF(OR(T10="",T10=0),"",H10/T10)</f>
        <v/>
      </c>
      <c r="AA10" s="2">
        <f>IF(OR(U10="",U10=0),"",H10/U10)</f>
        <v/>
      </c>
      <c r="AB10" s="2">
        <f>IF(OR(S10="",S10=0),"",I10/S10)</f>
        <v/>
      </c>
      <c r="AC10" s="2">
        <f>IF(OR(P10="",P10=0),"",R10/P10)</f>
        <v/>
      </c>
      <c r="AD10" s="2">
        <f>IF(OR(Q10="",Q10=0),"",S10/Q10)</f>
        <v/>
      </c>
    </row>
    <row r="11">
      <c r="A11" t="inlineStr">
        <is>
          <t>Arcadis</t>
        </is>
      </c>
      <c r="B11" t="inlineStr">
        <is>
          <t>ARCAD.AS</t>
        </is>
      </c>
      <c r="C11" t="n">
        <v>0</v>
      </c>
      <c r="D11" t="inlineStr">
        <is>
          <t>Services-heavy model, less product/asset intensity</t>
        </is>
      </c>
      <c r="E11" t="inlineStr">
        <is>
          <t>EUR</t>
        </is>
      </c>
      <c r="F11" t="n">
        <v>38.52000045776367</v>
      </c>
      <c r="G11" t="n">
        <v>3292.759296</v>
      </c>
      <c r="H11" t="n">
        <v>4499.301376</v>
      </c>
      <c r="I11" t="n">
        <v>759</v>
      </c>
      <c r="J11" t="n">
        <v>0.658</v>
      </c>
      <c r="K11" t="n">
        <v>1</v>
      </c>
      <c r="L11" t="n">
        <v>38.52000045776367</v>
      </c>
      <c r="M11" t="n">
        <v>3292.759296</v>
      </c>
      <c r="N11" t="n">
        <v>4499.301376</v>
      </c>
      <c r="O11" t="n">
        <v>759</v>
      </c>
      <c r="P11" t="n">
        <v>5003</v>
      </c>
      <c r="Q11" t="n">
        <v>4995</v>
      </c>
      <c r="R11" t="n">
        <v>464</v>
      </c>
      <c r="S11" t="n">
        <v>545</v>
      </c>
      <c r="T11" t="n">
        <v>290</v>
      </c>
      <c r="U11" t="n">
        <v>405</v>
      </c>
      <c r="V11">
        <f>IF(OR(P11="",P11=0),"",H11/P11)</f>
        <v/>
      </c>
      <c r="W11">
        <f>IF(OR(Q11="",Q11=0),"",H11/Q11)</f>
        <v/>
      </c>
      <c r="X11">
        <f>IF(OR(R11="",R11=0),"",H11/R11)</f>
        <v/>
      </c>
      <c r="Y11">
        <f>IF(OR(S11="",S11=0),"",H11/S11)</f>
        <v/>
      </c>
      <c r="Z11">
        <f>IF(OR(T11="",T11=0),"",H11/T11)</f>
        <v/>
      </c>
      <c r="AA11">
        <f>IF(OR(U11="",U11=0),"",H11/U11)</f>
        <v/>
      </c>
      <c r="AB11">
        <f>IF(OR(S11="",S11=0),"",I11/S11)</f>
        <v/>
      </c>
      <c r="AC11">
        <f>IF(OR(P11="",P11=0),"",R11/P11)</f>
        <v/>
      </c>
      <c r="AD11">
        <f>IF(OR(Q11="",Q11=0),"",S11/Q11)</f>
        <v/>
      </c>
    </row>
    <row r="12">
      <c r="A12" t="inlineStr">
        <is>
          <t>Fugro</t>
        </is>
      </c>
      <c r="B12" t="inlineStr">
        <is>
          <t>FUR.AS</t>
        </is>
      </c>
      <c r="C12" t="n">
        <v>0</v>
      </c>
      <c r="D12" t="inlineStr">
        <is>
          <t>Geo-data/offshore services, weaker industrial comparability</t>
        </is>
      </c>
      <c r="E12" t="inlineStr">
        <is>
          <t>EUR</t>
        </is>
      </c>
      <c r="F12" t="n">
        <v>11.27999973297119</v>
      </c>
      <c r="G12" t="n">
        <v>1246.338688</v>
      </c>
      <c r="H12" t="n">
        <v>1699.138688</v>
      </c>
      <c r="I12" t="n">
        <v>96.15900000000001</v>
      </c>
      <c r="J12" t="n">
        <v>0.796</v>
      </c>
      <c r="K12" t="n">
        <v>1</v>
      </c>
      <c r="L12" t="n">
        <v>11.27999973297119</v>
      </c>
      <c r="M12" t="n">
        <v>1246.338688</v>
      </c>
      <c r="N12" t="n">
        <v>1699.138688</v>
      </c>
      <c r="O12" t="n">
        <v>96.15900000000001</v>
      </c>
      <c r="P12" t="n">
        <v>2187.361</v>
      </c>
      <c r="Q12" t="n">
        <v>2275.434</v>
      </c>
      <c r="R12" t="n">
        <v>397.619</v>
      </c>
      <c r="S12" t="n">
        <v>513.103</v>
      </c>
      <c r="T12" t="n">
        <v>252.443</v>
      </c>
      <c r="U12" t="n">
        <v>344.074</v>
      </c>
      <c r="V12">
        <f>IF(OR(P12="",P12=0),"",H12/P12)</f>
        <v/>
      </c>
      <c r="W12">
        <f>IF(OR(Q12="",Q12=0),"",H12/Q12)</f>
        <v/>
      </c>
      <c r="X12">
        <f>IF(OR(R12="",R12=0),"",H12/R12)</f>
        <v/>
      </c>
      <c r="Y12">
        <f>IF(OR(S12="",S12=0),"",H12/S12)</f>
        <v/>
      </c>
      <c r="Z12">
        <f>IF(OR(T12="",T12=0),"",H12/T12)</f>
        <v/>
      </c>
      <c r="AA12">
        <f>IF(OR(U12="",U12=0),"",H12/U12)</f>
        <v/>
      </c>
      <c r="AB12">
        <f>IF(OR(S12="",S12=0),"",I12/S12)</f>
        <v/>
      </c>
      <c r="AC12">
        <f>IF(OR(P12="",P12=0),"",R12/P12)</f>
        <v/>
      </c>
      <c r="AD12">
        <f>IF(OR(Q12="",Q12=0),"",S12/Q12)</f>
        <v/>
      </c>
    </row>
    <row r="13">
      <c r="A13" t="inlineStr">
        <is>
          <t>SBM Offshore</t>
        </is>
      </c>
      <c r="B13" t="inlineStr">
        <is>
          <t>SBMO.AS</t>
        </is>
      </c>
      <c r="C13" t="n">
        <v>0</v>
      </c>
      <c r="D13" t="inlineStr">
        <is>
          <t>Project/offshore leasing model not close to TKH</t>
        </is>
      </c>
      <c r="E13" t="inlineStr">
        <is>
          <t>EUR</t>
        </is>
      </c>
      <c r="F13" t="n">
        <v>29.39999961853027</v>
      </c>
      <c r="G13" t="n">
        <v>4941.077504</v>
      </c>
      <c r="H13" t="n">
        <v>15331.299328</v>
      </c>
      <c r="I13" t="n">
        <v>8137</v>
      </c>
      <c r="J13" t="n">
        <v>0.791</v>
      </c>
      <c r="K13" t="n">
        <v>1</v>
      </c>
      <c r="L13" t="n">
        <v>29.39999961853027</v>
      </c>
      <c r="M13" t="n">
        <v>4941.077504</v>
      </c>
      <c r="N13" t="n">
        <v>15331.299328</v>
      </c>
      <c r="O13" t="n">
        <v>8137</v>
      </c>
      <c r="P13" t="n">
        <v>4962</v>
      </c>
      <c r="Q13" t="n">
        <v>4784</v>
      </c>
      <c r="R13" t="n">
        <v>1391</v>
      </c>
      <c r="S13" t="n">
        <v>1200</v>
      </c>
      <c r="T13" t="n">
        <v>1326</v>
      </c>
      <c r="U13" t="n">
        <v>1130</v>
      </c>
      <c r="V13">
        <f>IF(OR(P13="",P13=0),"",H13/P13)</f>
        <v/>
      </c>
      <c r="W13">
        <f>IF(OR(Q13="",Q13=0),"",H13/Q13)</f>
        <v/>
      </c>
      <c r="X13">
        <f>IF(OR(R13="",R13=0),"",H13/R13)</f>
        <v/>
      </c>
      <c r="Y13">
        <f>IF(OR(S13="",S13=0),"",H13/S13)</f>
        <v/>
      </c>
      <c r="Z13">
        <f>IF(OR(T13="",T13=0),"",H13/T13)</f>
        <v/>
      </c>
      <c r="AA13">
        <f>IF(OR(U13="",U13=0),"",H13/U13)</f>
        <v/>
      </c>
      <c r="AB13">
        <f>IF(OR(S13="",S13=0),"",I13/S13)</f>
        <v/>
      </c>
      <c r="AC13">
        <f>IF(OR(P13="",P13=0),"",R13/P13)</f>
        <v/>
      </c>
      <c r="AD13">
        <f>IF(OR(Q13="",Q13=0),"",S13/Q13)</f>
        <v/>
      </c>
    </row>
    <row r="14">
      <c r="A14" t="inlineStr">
        <is>
          <t>Vopak</t>
        </is>
      </c>
      <c r="B14" t="inlineStr">
        <is>
          <t>VPK.AS</t>
        </is>
      </c>
      <c r="C14" t="n">
        <v>0</v>
      </c>
      <c r="D14" t="inlineStr">
        <is>
          <t>Tank storage infrastructure, limited operating overlap</t>
        </is>
      </c>
      <c r="E14" t="inlineStr">
        <is>
          <t>EUR</t>
        </is>
      </c>
      <c r="F14" t="n">
        <v>42.95999908447266</v>
      </c>
      <c r="G14" t="n">
        <v>4921.4592</v>
      </c>
      <c r="H14" t="n">
        <v>7800.001536</v>
      </c>
      <c r="I14" t="n">
        <v>2672</v>
      </c>
      <c r="J14" t="n">
        <v>0.86</v>
      </c>
      <c r="K14" t="n">
        <v>1</v>
      </c>
      <c r="L14" t="n">
        <v>42.95999908447266</v>
      </c>
      <c r="M14" t="n">
        <v>4921.4592</v>
      </c>
      <c r="N14" t="n">
        <v>7800.001536</v>
      </c>
      <c r="O14" t="n">
        <v>2672</v>
      </c>
      <c r="P14" t="n">
        <v>1425.6</v>
      </c>
      <c r="Q14" t="n">
        <v>1315.6</v>
      </c>
      <c r="R14" t="n">
        <v>1016.8</v>
      </c>
      <c r="S14" t="n">
        <v>925.2</v>
      </c>
      <c r="T14" t="n">
        <v>693.8</v>
      </c>
      <c r="U14" t="n">
        <v>617.8</v>
      </c>
      <c r="V14">
        <f>IF(OR(P14="",P14=0),"",H14/P14)</f>
        <v/>
      </c>
      <c r="W14">
        <f>IF(OR(Q14="",Q14=0),"",H14/Q14)</f>
        <v/>
      </c>
      <c r="X14">
        <f>IF(OR(R14="",R14=0),"",H14/R14)</f>
        <v/>
      </c>
      <c r="Y14">
        <f>IF(OR(S14="",S14=0),"",H14/S14)</f>
        <v/>
      </c>
      <c r="Z14">
        <f>IF(OR(T14="",T14=0),"",H14/T14)</f>
        <v/>
      </c>
      <c r="AA14">
        <f>IF(OR(U14="",U14=0),"",H14/U14)</f>
        <v/>
      </c>
      <c r="AB14">
        <f>IF(OR(S14="",S14=0),"",I14/S14)</f>
        <v/>
      </c>
      <c r="AC14">
        <f>IF(OR(P14="",P14=0),"",R14/P14)</f>
        <v/>
      </c>
      <c r="AD14">
        <f>IF(OR(Q14="",Q14=0),"",S14/Q14)</f>
        <v/>
      </c>
    </row>
    <row r="15">
      <c r="A15" t="inlineStr">
        <is>
          <t>TKH (subject company)</t>
        </is>
      </c>
      <c r="B15" t="inlineStr">
        <is>
          <t>TWEKA.AS</t>
        </is>
      </c>
      <c r="C15" t="n">
        <v>0</v>
      </c>
      <c r="D15" t="inlineStr">
        <is>
          <t>Subject company reference (excluded from peer stats)</t>
        </is>
      </c>
      <c r="E15" t="inlineStr">
        <is>
          <t>EUR</t>
        </is>
      </c>
      <c r="F15" t="n">
        <v>39.31999969482422</v>
      </c>
      <c r="G15" t="n">
        <v>1568.247424</v>
      </c>
      <c r="H15" t="n">
        <v>2252.5312</v>
      </c>
      <c r="I15" t="n">
        <v>584.726</v>
      </c>
      <c r="J15" t="n">
        <v>0.99</v>
      </c>
      <c r="K15" t="n">
        <v>1</v>
      </c>
      <c r="L15" t="n">
        <v>39.31999969482422</v>
      </c>
      <c r="M15" t="n">
        <v>1568.247424</v>
      </c>
      <c r="N15" t="n">
        <v>2252.5312</v>
      </c>
      <c r="O15" t="n">
        <v>584.726</v>
      </c>
      <c r="P15" t="n">
        <v>1847.532</v>
      </c>
      <c r="Q15" t="n">
        <v>1712.735</v>
      </c>
      <c r="R15" t="n">
        <v>331.628</v>
      </c>
      <c r="S15" t="n">
        <v>266.821</v>
      </c>
      <c r="T15" t="n">
        <v>225.855</v>
      </c>
      <c r="U15" t="n">
        <v>153.673</v>
      </c>
      <c r="V15">
        <f>IF(OR(P15="",P15=0),"",H15/P15)</f>
        <v/>
      </c>
      <c r="W15">
        <f>IF(OR(Q15="",Q15=0),"",H15/Q15)</f>
        <v/>
      </c>
      <c r="X15">
        <f>IF(OR(R15="",R15=0),"",H15/R15)</f>
        <v/>
      </c>
      <c r="Y15">
        <f>IF(OR(S15="",S15=0),"",H15/S15)</f>
        <v/>
      </c>
      <c r="Z15">
        <f>IF(OR(T15="",T15=0),"",H15/T15)</f>
        <v/>
      </c>
      <c r="AA15">
        <f>IF(OR(U15="",U15=0),"",H15/U15)</f>
        <v/>
      </c>
      <c r="AB15">
        <f>IF(OR(S15="",S15=0),"",I15/S15)</f>
        <v/>
      </c>
      <c r="AC15">
        <f>IF(OR(P15="",P15=0),"",R15/P15)</f>
        <v/>
      </c>
      <c r="AD15">
        <f>IF(OR(Q15="",Q15=0),"",S15/Q15)</f>
        <v/>
      </c>
    </row>
    <row r="16"/>
    <row r="17">
      <c r="A17" s="3" t="inlineStr">
        <is>
          <t>Selected peers average</t>
        </is>
      </c>
      <c r="V17">
        <f>IFERROR(AVERAGEIF(C3:C15,1,V3:V15),"")</f>
        <v/>
      </c>
      <c r="W17">
        <f>IFERROR(AVERAGEIF(C3:C15,1,W3:W15),"")</f>
        <v/>
      </c>
      <c r="X17">
        <f>IFERROR(AVERAGEIF(C3:C15,1,X3:X15),"")</f>
        <v/>
      </c>
      <c r="Y17">
        <f>IFERROR(AVERAGEIF(C3:C15,1,Y3:Y15),"")</f>
        <v/>
      </c>
      <c r="Z17">
        <f>IFERROR(AVERAGEIF(C3:C15,1,Z3:Z15),"")</f>
        <v/>
      </c>
      <c r="AA17">
        <f>IFERROR(AVERAGEIF(C3:C15,1,AA3:AA15),"")</f>
        <v/>
      </c>
    </row>
    <row r="18">
      <c r="A18" s="3" t="inlineStr">
        <is>
          <t>Selected peers median</t>
        </is>
      </c>
      <c r="V18">
        <f>IFERROR(MEDIAN(FILTER(V3:V15,(C3:C15=1)*(V3:V15&lt;&gt;""))),"")</f>
        <v/>
      </c>
      <c r="W18">
        <f>IFERROR(MEDIAN(FILTER(W3:W15,(C3:C15=1)*(W3:W15&lt;&gt;""))),"")</f>
        <v/>
      </c>
      <c r="X18">
        <f>IFERROR(MEDIAN(FILTER(X3:X15,(C3:C15=1)*(X3:X15&lt;&gt;""))),"")</f>
        <v/>
      </c>
      <c r="Y18">
        <f>IFERROR(MEDIAN(FILTER(Y3:Y15,(C3:C15=1)*(Y3:Y15&lt;&gt;""))),"")</f>
        <v/>
      </c>
      <c r="Z18">
        <f>IFERROR(MEDIAN(FILTER(Z3:Z15,(C3:C15=1)*(Z3:Z15&lt;&gt;""))),"")</f>
        <v/>
      </c>
      <c r="AA18">
        <f>IFERROR(MEDIAN(FILTER(AA3:AA15,(C3:C15=1)*(AA3:AA15&lt;&gt;""))),"")</f>
        <v/>
      </c>
    </row>
    <row r="19"/>
    <row r="20"/>
    <row r="21">
      <c r="A21" s="3" t="inlineStr">
        <is>
          <t>TKH Inputs</t>
        </is>
      </c>
    </row>
    <row r="22">
      <c r="A22" t="inlineStr">
        <is>
          <t>Metric</t>
        </is>
      </c>
      <c r="B22" t="inlineStr">
        <is>
          <t>2023</t>
        </is>
      </c>
      <c r="C22" t="inlineStr">
        <is>
          <t>2024</t>
        </is>
      </c>
    </row>
    <row r="23">
      <c r="A23" t="inlineStr">
        <is>
          <t>Revenue (CCY m)</t>
        </is>
      </c>
      <c r="B23">
        <f>IFERROR(INDEX(P3:P15,MATCH("TWEKA.AS",B3:B15,0)),"")</f>
        <v/>
      </c>
      <c r="C23">
        <f>IFERROR(INDEX(Q3:Q15,MATCH("TWEKA.AS",B3:B15,0)),"")</f>
        <v/>
      </c>
      <c r="P23" s="4" t="n"/>
      <c r="Q23" s="4" t="n"/>
      <c r="R23" s="4" t="n"/>
      <c r="S23" s="4" t="n"/>
      <c r="T23" s="4" t="n"/>
      <c r="U23" s="4" t="n"/>
    </row>
    <row r="24">
      <c r="A24" t="inlineStr">
        <is>
          <t>EBITDA (CCY m)</t>
        </is>
      </c>
      <c r="B24">
        <f>IFERROR(INDEX(R3:R15,MATCH("TWEKA.AS",B3:B15,0)),"")</f>
        <v/>
      </c>
      <c r="C24">
        <f>IFERROR(INDEX(S3:S15,MATCH("TWEKA.AS",B3:B15,0)),"")</f>
        <v/>
      </c>
      <c r="P24" s="4" t="n"/>
      <c r="Q24" s="4" t="n"/>
      <c r="R24" s="4" t="n"/>
      <c r="S24" s="4" t="n"/>
      <c r="T24" s="4" t="n"/>
      <c r="U24" s="4" t="n"/>
    </row>
    <row r="25">
      <c r="A25" t="inlineStr">
        <is>
          <t>EBIT (CCY m)</t>
        </is>
      </c>
      <c r="B25">
        <f>IFERROR(INDEX(T3:T15,MATCH("TWEKA.AS",B3:B15,0)),"")</f>
        <v/>
      </c>
      <c r="C25">
        <f>IFERROR(INDEX(U3:U15,MATCH("TWEKA.AS",B3:B15,0)),"")</f>
        <v/>
      </c>
      <c r="P25" s="4" t="n"/>
      <c r="Q25" s="4" t="n"/>
      <c r="R25" s="4" t="n"/>
      <c r="S25" s="4" t="n"/>
      <c r="T25" s="4" t="n"/>
      <c r="U25" s="4" t="n"/>
    </row>
    <row r="26">
      <c r="A26" t="inlineStr">
        <is>
          <t>Net Debt (CCY m)</t>
        </is>
      </c>
      <c r="C26">
        <f>IFERROR(INDEX(I3:I15,MATCH("TWEKA.AS",B3:B15,0)),"")</f>
        <v/>
      </c>
    </row>
    <row r="27">
      <c r="A27" t="inlineStr">
        <is>
          <t>Adjustments (CCY m)</t>
        </is>
      </c>
      <c r="C27" t="n">
        <v>0</v>
      </c>
    </row>
    <row r="28">
      <c r="A28" t="inlineStr">
        <is>
          <t>Shares Outstanding (m)</t>
        </is>
      </c>
    </row>
    <row r="29"/>
    <row r="30"/>
    <row r="31">
      <c r="A31" s="3" t="inlineStr">
        <is>
          <t>TKH valuation (Selected peers)</t>
        </is>
      </c>
    </row>
    <row r="32">
      <c r="A32" t="inlineStr">
        <is>
          <t>Multiple</t>
        </is>
      </c>
      <c r="B32" t="inlineStr">
        <is>
          <t>Year</t>
        </is>
      </c>
      <c r="C32" t="inlineStr">
        <is>
          <t>Selected Avg</t>
        </is>
      </c>
      <c r="D32" t="inlineStr">
        <is>
          <t>Selected Median</t>
        </is>
      </c>
      <c r="E32" t="inlineStr">
        <is>
          <t>TKH Metric (CCY m)</t>
        </is>
      </c>
      <c r="F32" t="inlineStr">
        <is>
          <t>Implied EV (Avg)</t>
        </is>
      </c>
      <c r="G32" t="inlineStr">
        <is>
          <t>Implied EV (Median)</t>
        </is>
      </c>
      <c r="H32" t="inlineStr">
        <is>
          <t>Net Debt (CCY m)</t>
        </is>
      </c>
      <c r="I32" t="inlineStr">
        <is>
          <t>Adjustments (CCY m)</t>
        </is>
      </c>
      <c r="J32" t="inlineStr">
        <is>
          <t>Equity Value (Avg)</t>
        </is>
      </c>
      <c r="K32" t="inlineStr">
        <is>
          <t>Equity Value (Median)</t>
        </is>
      </c>
      <c r="L32" t="inlineStr">
        <is>
          <t>Shares (m)</t>
        </is>
      </c>
      <c r="M32" t="inlineStr">
        <is>
          <t>Per Share (Avg)</t>
        </is>
      </c>
      <c r="N32" t="inlineStr">
        <is>
          <t>Per Share (Median)</t>
        </is>
      </c>
    </row>
    <row r="33">
      <c r="A33" t="inlineStr">
        <is>
          <t>EV/Sales</t>
        </is>
      </c>
      <c r="B33" t="inlineStr">
        <is>
          <t>2023</t>
        </is>
      </c>
      <c r="C33">
        <f>V17</f>
        <v/>
      </c>
      <c r="D33">
        <f>V18</f>
        <v/>
      </c>
      <c r="E33">
        <f>B23</f>
        <v/>
      </c>
      <c r="F33">
        <f>IF(OR(C33="",E33=""),"",C33*E33)</f>
        <v/>
      </c>
      <c r="G33">
        <f>IF(OR(D33="",E33=""),"",D33*E33)</f>
        <v/>
      </c>
      <c r="H33">
        <f>C26</f>
        <v/>
      </c>
      <c r="I33">
        <f>C27</f>
        <v/>
      </c>
      <c r="J33">
        <f>IF(F33="","",F33-H33+I33)</f>
        <v/>
      </c>
      <c r="K33">
        <f>IF(G33="","",G33-H33+I33)</f>
        <v/>
      </c>
      <c r="L33">
        <f>C28</f>
        <v/>
      </c>
      <c r="M33">
        <f>IF(OR(J33="",L33=""),"",J33/L33)</f>
        <v/>
      </c>
      <c r="N33">
        <f>IF(OR(K33="",L33=""),"",K33/L33)</f>
        <v/>
      </c>
    </row>
    <row r="34">
      <c r="A34" t="inlineStr">
        <is>
          <t>EV/Sales</t>
        </is>
      </c>
      <c r="B34" t="inlineStr">
        <is>
          <t>2024</t>
        </is>
      </c>
      <c r="C34">
        <f>W17</f>
        <v/>
      </c>
      <c r="D34">
        <f>W18</f>
        <v/>
      </c>
      <c r="E34">
        <f>C23</f>
        <v/>
      </c>
      <c r="F34">
        <f>IF(OR(C34="",E34=""),"",C34*E34)</f>
        <v/>
      </c>
      <c r="G34">
        <f>IF(OR(D34="",E34=""),"",D34*E34)</f>
        <v/>
      </c>
      <c r="H34">
        <f>C26</f>
        <v/>
      </c>
      <c r="I34">
        <f>C27</f>
        <v/>
      </c>
      <c r="J34">
        <f>IF(F34="","",F34-H34+I34)</f>
        <v/>
      </c>
      <c r="K34">
        <f>IF(G34="","",G34-H34+I34)</f>
        <v/>
      </c>
      <c r="L34">
        <f>C28</f>
        <v/>
      </c>
      <c r="M34">
        <f>IF(OR(J34="",L34=""),"",J34/L34)</f>
        <v/>
      </c>
      <c r="N34">
        <f>IF(OR(K34="",L34=""),"",K34/L34)</f>
        <v/>
      </c>
    </row>
    <row r="35">
      <c r="A35" t="inlineStr">
        <is>
          <t>EV/EBITDA</t>
        </is>
      </c>
      <c r="B35" t="inlineStr">
        <is>
          <t>2023</t>
        </is>
      </c>
      <c r="C35">
        <f>X17</f>
        <v/>
      </c>
      <c r="D35">
        <f>X18</f>
        <v/>
      </c>
      <c r="E35">
        <f>B24</f>
        <v/>
      </c>
      <c r="F35">
        <f>IF(OR(C35="",E35=""),"",C35*E35)</f>
        <v/>
      </c>
      <c r="G35">
        <f>IF(OR(D35="",E35=""),"",D35*E35)</f>
        <v/>
      </c>
      <c r="H35">
        <f>C26</f>
        <v/>
      </c>
      <c r="I35">
        <f>C27</f>
        <v/>
      </c>
      <c r="J35">
        <f>IF(F35="","",F35-H35+I35)</f>
        <v/>
      </c>
      <c r="K35">
        <f>IF(G35="","",G35-H35+I35)</f>
        <v/>
      </c>
      <c r="L35">
        <f>C28</f>
        <v/>
      </c>
      <c r="M35">
        <f>IF(OR(J35="",L35=""),"",J35/L35)</f>
        <v/>
      </c>
      <c r="N35">
        <f>IF(OR(K35="",L35=""),"",K35/L35)</f>
        <v/>
      </c>
    </row>
    <row r="36">
      <c r="A36" t="inlineStr">
        <is>
          <t>EV/EBITDA</t>
        </is>
      </c>
      <c r="B36" t="inlineStr">
        <is>
          <t>2024</t>
        </is>
      </c>
      <c r="C36">
        <f>Y17</f>
        <v/>
      </c>
      <c r="D36">
        <f>Y18</f>
        <v/>
      </c>
      <c r="E36">
        <f>C24</f>
        <v/>
      </c>
      <c r="F36">
        <f>IF(OR(C36="",E36=""),"",C36*E36)</f>
        <v/>
      </c>
      <c r="G36">
        <f>IF(OR(D36="",E36=""),"",D36*E36)</f>
        <v/>
      </c>
      <c r="H36">
        <f>C26</f>
        <v/>
      </c>
      <c r="I36">
        <f>C27</f>
        <v/>
      </c>
      <c r="J36">
        <f>IF(F36="","",F36-H36+I36)</f>
        <v/>
      </c>
      <c r="K36">
        <f>IF(G36="","",G36-H36+I36)</f>
        <v/>
      </c>
      <c r="L36">
        <f>C28</f>
        <v/>
      </c>
      <c r="M36">
        <f>IF(OR(J36="",L36=""),"",J36/L36)</f>
        <v/>
      </c>
      <c r="N36">
        <f>IF(OR(K36="",L36=""),"",K36/L36)</f>
        <v/>
      </c>
    </row>
    <row r="37">
      <c r="A37" t="inlineStr">
        <is>
          <t>EV/EBIT</t>
        </is>
      </c>
      <c r="B37" t="inlineStr">
        <is>
          <t>2023</t>
        </is>
      </c>
      <c r="C37">
        <f>Z17</f>
        <v/>
      </c>
      <c r="D37">
        <f>Z18</f>
        <v/>
      </c>
      <c r="E37">
        <f>B25</f>
        <v/>
      </c>
      <c r="F37">
        <f>IF(OR(C37="",E37=""),"",C37*E37)</f>
        <v/>
      </c>
      <c r="G37">
        <f>IF(OR(D37="",E37=""),"",D37*E37)</f>
        <v/>
      </c>
      <c r="H37">
        <f>C26</f>
        <v/>
      </c>
      <c r="I37">
        <f>C27</f>
        <v/>
      </c>
      <c r="J37">
        <f>IF(F37="","",F37-H37+I37)</f>
        <v/>
      </c>
      <c r="K37">
        <f>IF(G37="","",G37-H37+I37)</f>
        <v/>
      </c>
      <c r="L37">
        <f>C28</f>
        <v/>
      </c>
      <c r="M37">
        <f>IF(OR(J37="",L37=""),"",J37/L37)</f>
        <v/>
      </c>
      <c r="N37">
        <f>IF(OR(K37="",L37=""),"",K37/L37)</f>
        <v/>
      </c>
    </row>
    <row r="38">
      <c r="A38" t="inlineStr">
        <is>
          <t>EV/EBIT</t>
        </is>
      </c>
      <c r="B38" t="inlineStr">
        <is>
          <t>2024</t>
        </is>
      </c>
      <c r="C38">
        <f>AA17</f>
        <v/>
      </c>
      <c r="D38">
        <f>AA18</f>
        <v/>
      </c>
      <c r="E38">
        <f>C25</f>
        <v/>
      </c>
      <c r="F38">
        <f>IF(OR(C38="",E38=""),"",C38*E38)</f>
        <v/>
      </c>
      <c r="G38">
        <f>IF(OR(D38="",E38=""),"",D38*E38)</f>
        <v/>
      </c>
      <c r="H38">
        <f>C26</f>
        <v/>
      </c>
      <c r="I38">
        <f>C27</f>
        <v/>
      </c>
      <c r="J38">
        <f>IF(F38="","",F38-H38+I38)</f>
        <v/>
      </c>
      <c r="K38">
        <f>IF(G38="","",G38-H38+I38)</f>
        <v/>
      </c>
      <c r="L38">
        <f>C28</f>
        <v/>
      </c>
      <c r="M38">
        <f>IF(OR(J38="",L38=""),"",J38/L38)</f>
        <v/>
      </c>
      <c r="N38">
        <f>IF(OR(K38="",L38=""),"",K38/L38)</f>
        <v/>
      </c>
    </row>
  </sheetData>
  <autoFilter ref="A2:AD15"/>
  <mergeCells count="23">
    <mergeCell ref="AB1:AB2"/>
    <mergeCell ref="P1:Q1"/>
    <mergeCell ref="C1:C2"/>
    <mergeCell ref="E1:E2"/>
    <mergeCell ref="K1:K2"/>
    <mergeCell ref="M1:M2"/>
    <mergeCell ref="O1:O2"/>
    <mergeCell ref="V1:W1"/>
    <mergeCell ref="B1:B2"/>
    <mergeCell ref="L1:L2"/>
    <mergeCell ref="N1:N2"/>
    <mergeCell ref="T1:U1"/>
    <mergeCell ref="AC1:AD1"/>
    <mergeCell ref="G1:G2"/>
    <mergeCell ref="I1:I2"/>
    <mergeCell ref="X1:Y1"/>
    <mergeCell ref="Z1:AA1"/>
    <mergeCell ref="D1:D2"/>
    <mergeCell ref="F1:F2"/>
    <mergeCell ref="H1:H2"/>
    <mergeCell ref="J1:J2"/>
    <mergeCell ref="R1:S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TKH peer workbook</t>
        </is>
      </c>
      <c r="B1" t="inlineStr">
        <is>
          <t>Generated on 2026-02-08</t>
        </is>
      </c>
    </row>
    <row r="2">
      <c r="A2" t="inlineStr">
        <is>
          <t>How to populate live KPIs</t>
        </is>
      </c>
      <c r="B2" t="inlineStr">
        <is>
          <t>Run fill_from_yahoo.py or paste current values for market data and operating metrics.</t>
        </is>
      </c>
    </row>
    <row r="3">
      <c r="A3" t="inlineStr">
        <is>
          <t>Suggested data sources</t>
        </is>
      </c>
      <c r="B3" t="inlineStr">
        <is>
          <t>Bloomberg, Capital IQ, FactSet, Refinitiv, or Yahoo Finance.</t>
        </is>
      </c>
    </row>
    <row r="4">
      <c r="A4" t="inlineStr">
        <is>
          <t>Units</t>
        </is>
      </c>
      <c r="B4" t="inlineStr">
        <is>
          <t>Market Cap/EV/Revenue/EBITDA/EBIT/Net Debt are stored in CCY m; shares in m; EUR columns use FX.</t>
        </is>
      </c>
    </row>
    <row r="5">
      <c r="A5" t="inlineStr">
        <is>
          <t>Selection result</t>
        </is>
      </c>
      <c r="B5" t="inlineStr">
        <is>
          <t>Rows with Selected=1 drive the peer summary and valuation block.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Company</t>
        </is>
      </c>
      <c r="B1" s="3" t="inlineStr">
        <is>
          <t>Ticker</t>
        </is>
      </c>
      <c r="C1" s="3" t="inlineStr">
        <is>
          <t>Selected (1/0)</t>
        </is>
      </c>
      <c r="D1" s="3" t="inlineStr">
        <is>
          <t>Equity Beta</t>
        </is>
      </c>
      <c r="E1" s="3" t="inlineStr">
        <is>
          <t>Net Debt (CCY m)</t>
        </is>
      </c>
      <c r="F1" s="3" t="inlineStr">
        <is>
          <t>Market Cap (CCY m)</t>
        </is>
      </c>
      <c r="G1" s="3" t="inlineStr">
        <is>
          <t>Debt/Equity</t>
        </is>
      </c>
      <c r="H1" s="3" t="inlineStr">
        <is>
          <t>Unlevered Beta</t>
        </is>
      </c>
    </row>
    <row r="2">
      <c r="A2">
        <f>Peer_Table!A3</f>
        <v/>
      </c>
      <c r="B2">
        <f>Peer_Table!B3</f>
        <v/>
      </c>
      <c r="C2">
        <f>Peer_Table!C3</f>
        <v/>
      </c>
      <c r="D2">
        <f>Peer_Table!J3</f>
        <v/>
      </c>
      <c r="E2">
        <f>Peer_Table!I3</f>
        <v/>
      </c>
      <c r="F2">
        <f>Peer_Table!G3</f>
        <v/>
      </c>
      <c r="G2">
        <f>IF(OR(F2="",F2=0,E2=""),"",E2/F2)</f>
        <v/>
      </c>
      <c r="H2">
        <f>IF(OR(D2="",G2=""),"",D2/(1+(1-B21)*G2))</f>
        <v/>
      </c>
    </row>
    <row r="3">
      <c r="A3">
        <f>Peer_Table!A4</f>
        <v/>
      </c>
      <c r="B3">
        <f>Peer_Table!B4</f>
        <v/>
      </c>
      <c r="C3">
        <f>Peer_Table!C4</f>
        <v/>
      </c>
      <c r="D3">
        <f>Peer_Table!J4</f>
        <v/>
      </c>
      <c r="E3">
        <f>Peer_Table!I4</f>
        <v/>
      </c>
      <c r="F3">
        <f>Peer_Table!G4</f>
        <v/>
      </c>
      <c r="G3">
        <f>IF(OR(F3="",F3=0,E3=""),"",E3/F3)</f>
        <v/>
      </c>
      <c r="H3">
        <f>IF(OR(D3="",G3=""),"",D3/(1+(1-B21)*G3))</f>
        <v/>
      </c>
    </row>
    <row r="4">
      <c r="A4">
        <f>Peer_Table!A5</f>
        <v/>
      </c>
      <c r="B4">
        <f>Peer_Table!B5</f>
        <v/>
      </c>
      <c r="C4">
        <f>Peer_Table!C5</f>
        <v/>
      </c>
      <c r="D4">
        <f>Peer_Table!J5</f>
        <v/>
      </c>
      <c r="E4">
        <f>Peer_Table!I5</f>
        <v/>
      </c>
      <c r="F4">
        <f>Peer_Table!G5</f>
        <v/>
      </c>
      <c r="G4">
        <f>IF(OR(F4="",F4=0,E4=""),"",E4/F4)</f>
        <v/>
      </c>
      <c r="H4">
        <f>IF(OR(D4="",G4=""),"",D4/(1+(1-B21)*G4))</f>
        <v/>
      </c>
    </row>
    <row r="5">
      <c r="A5">
        <f>Peer_Table!A6</f>
        <v/>
      </c>
      <c r="B5">
        <f>Peer_Table!B6</f>
        <v/>
      </c>
      <c r="C5">
        <f>Peer_Table!C6</f>
        <v/>
      </c>
      <c r="D5">
        <f>Peer_Table!J6</f>
        <v/>
      </c>
      <c r="E5">
        <f>Peer_Table!I6</f>
        <v/>
      </c>
      <c r="F5">
        <f>Peer_Table!G6</f>
        <v/>
      </c>
      <c r="G5">
        <f>IF(OR(F5="",F5=0,E5=""),"",E5/F5)</f>
        <v/>
      </c>
      <c r="H5">
        <f>IF(OR(D5="",G5=""),"",D5/(1+(1-B21)*G5))</f>
        <v/>
      </c>
    </row>
    <row r="6">
      <c r="A6">
        <f>Peer_Table!A7</f>
        <v/>
      </c>
      <c r="B6">
        <f>Peer_Table!B7</f>
        <v/>
      </c>
      <c r="C6">
        <f>Peer_Table!C7</f>
        <v/>
      </c>
      <c r="D6">
        <f>Peer_Table!J7</f>
        <v/>
      </c>
      <c r="E6">
        <f>Peer_Table!I7</f>
        <v/>
      </c>
      <c r="F6">
        <f>Peer_Table!G7</f>
        <v/>
      </c>
      <c r="G6">
        <f>IF(OR(F6="",F6=0,E6=""),"",E6/F6)</f>
        <v/>
      </c>
      <c r="H6">
        <f>IF(OR(D6="",G6=""),"",D6/(1+(1-B21)*G6))</f>
        <v/>
      </c>
    </row>
    <row r="7">
      <c r="A7">
        <f>Peer_Table!A8</f>
        <v/>
      </c>
      <c r="B7">
        <f>Peer_Table!B8</f>
        <v/>
      </c>
      <c r="C7">
        <f>Peer_Table!C8</f>
        <v/>
      </c>
      <c r="D7">
        <f>Peer_Table!J8</f>
        <v/>
      </c>
      <c r="E7">
        <f>Peer_Table!I8</f>
        <v/>
      </c>
      <c r="F7">
        <f>Peer_Table!G8</f>
        <v/>
      </c>
      <c r="G7">
        <f>IF(OR(F7="",F7=0,E7=""),"",E7/F7)</f>
        <v/>
      </c>
      <c r="H7">
        <f>IF(OR(D7="",G7=""),"",D7/(1+(1-B21)*G7))</f>
        <v/>
      </c>
    </row>
    <row r="8">
      <c r="A8">
        <f>Peer_Table!A9</f>
        <v/>
      </c>
      <c r="B8">
        <f>Peer_Table!B9</f>
        <v/>
      </c>
      <c r="C8">
        <f>Peer_Table!C9</f>
        <v/>
      </c>
      <c r="D8">
        <f>Peer_Table!J9</f>
        <v/>
      </c>
      <c r="E8">
        <f>Peer_Table!I9</f>
        <v/>
      </c>
      <c r="F8">
        <f>Peer_Table!G9</f>
        <v/>
      </c>
      <c r="G8">
        <f>IF(OR(F8="",F8=0,E8=""),"",E8/F8)</f>
        <v/>
      </c>
      <c r="H8">
        <f>IF(OR(D8="",G8=""),"",D8/(1+(1-B21)*G8))</f>
        <v/>
      </c>
    </row>
    <row r="9">
      <c r="A9">
        <f>Peer_Table!A10</f>
        <v/>
      </c>
      <c r="B9">
        <f>Peer_Table!B10</f>
        <v/>
      </c>
      <c r="C9">
        <f>Peer_Table!C10</f>
        <v/>
      </c>
      <c r="D9">
        <f>Peer_Table!J10</f>
        <v/>
      </c>
      <c r="E9">
        <f>Peer_Table!I10</f>
        <v/>
      </c>
      <c r="F9">
        <f>Peer_Table!G10</f>
        <v/>
      </c>
      <c r="G9">
        <f>IF(OR(F9="",F9=0,E9=""),"",E9/F9)</f>
        <v/>
      </c>
      <c r="H9">
        <f>IF(OR(D9="",G9=""),"",D9/(1+(1-B21)*G9))</f>
        <v/>
      </c>
    </row>
    <row r="10">
      <c r="A10">
        <f>Peer_Table!A11</f>
        <v/>
      </c>
      <c r="B10">
        <f>Peer_Table!B11</f>
        <v/>
      </c>
      <c r="C10">
        <f>Peer_Table!C11</f>
        <v/>
      </c>
      <c r="D10">
        <f>Peer_Table!J11</f>
        <v/>
      </c>
      <c r="E10">
        <f>Peer_Table!I11</f>
        <v/>
      </c>
      <c r="F10">
        <f>Peer_Table!G11</f>
        <v/>
      </c>
      <c r="G10">
        <f>IF(OR(F10="",F10=0,E10=""),"",E10/F10)</f>
        <v/>
      </c>
      <c r="H10">
        <f>IF(OR(D10="",G10=""),"",D10/(1+(1-B21)*G10))</f>
        <v/>
      </c>
    </row>
    <row r="11">
      <c r="A11">
        <f>Peer_Table!A12</f>
        <v/>
      </c>
      <c r="B11">
        <f>Peer_Table!B12</f>
        <v/>
      </c>
      <c r="C11">
        <f>Peer_Table!C12</f>
        <v/>
      </c>
      <c r="D11">
        <f>Peer_Table!J12</f>
        <v/>
      </c>
      <c r="E11">
        <f>Peer_Table!I12</f>
        <v/>
      </c>
      <c r="F11">
        <f>Peer_Table!G12</f>
        <v/>
      </c>
      <c r="G11">
        <f>IF(OR(F11="",F11=0,E11=""),"",E11/F11)</f>
        <v/>
      </c>
      <c r="H11">
        <f>IF(OR(D11="",G11=""),"",D11/(1+(1-B21)*G11))</f>
        <v/>
      </c>
    </row>
    <row r="12">
      <c r="A12">
        <f>Peer_Table!A13</f>
        <v/>
      </c>
      <c r="B12">
        <f>Peer_Table!B13</f>
        <v/>
      </c>
      <c r="C12">
        <f>Peer_Table!C13</f>
        <v/>
      </c>
      <c r="D12">
        <f>Peer_Table!J13</f>
        <v/>
      </c>
      <c r="E12">
        <f>Peer_Table!I13</f>
        <v/>
      </c>
      <c r="F12">
        <f>Peer_Table!G13</f>
        <v/>
      </c>
      <c r="G12">
        <f>IF(OR(F12="",F12=0,E12=""),"",E12/F12)</f>
        <v/>
      </c>
      <c r="H12">
        <f>IF(OR(D12="",G12=""),"",D12/(1+(1-B21)*G12))</f>
        <v/>
      </c>
    </row>
    <row r="13">
      <c r="A13">
        <f>Peer_Table!A14</f>
        <v/>
      </c>
      <c r="B13">
        <f>Peer_Table!B14</f>
        <v/>
      </c>
      <c r="C13">
        <f>Peer_Table!C14</f>
        <v/>
      </c>
      <c r="D13">
        <f>Peer_Table!J14</f>
        <v/>
      </c>
      <c r="E13">
        <f>Peer_Table!I14</f>
        <v/>
      </c>
      <c r="F13">
        <f>Peer_Table!G14</f>
        <v/>
      </c>
      <c r="G13">
        <f>IF(OR(F13="",F13=0,E13=""),"",E13/F13)</f>
        <v/>
      </c>
      <c r="H13">
        <f>IF(OR(D13="",G13=""),"",D13/(1+(1-B21)*G13))</f>
        <v/>
      </c>
    </row>
    <row r="14">
      <c r="A14">
        <f>Peer_Table!A15</f>
        <v/>
      </c>
      <c r="B14">
        <f>Peer_Table!B15</f>
        <v/>
      </c>
      <c r="C14">
        <f>Peer_Table!C15</f>
        <v/>
      </c>
      <c r="D14">
        <f>Peer_Table!J15</f>
        <v/>
      </c>
      <c r="E14">
        <f>Peer_Table!I15</f>
        <v/>
      </c>
      <c r="F14">
        <f>Peer_Table!G15</f>
        <v/>
      </c>
      <c r="G14">
        <f>IF(OR(F14="",F14=0,E14=""),"",E14/F14)</f>
        <v/>
      </c>
      <c r="H14">
        <f>IF(OR(D14="",G14=""),"",D14/(1+(1-B21)*G14))</f>
        <v/>
      </c>
    </row>
    <row r="17">
      <c r="A17" s="3" t="inlineStr">
        <is>
          <t>WACC Inputs</t>
        </is>
      </c>
    </row>
    <row r="18">
      <c r="A18" t="inlineStr">
        <is>
          <t>Risk-free rate</t>
        </is>
      </c>
      <c r="B18" t="n">
        <v>0.03</v>
      </c>
    </row>
    <row r="19">
      <c r="A19" t="inlineStr">
        <is>
          <t>Market risk premium</t>
        </is>
      </c>
      <c r="B19" t="n">
        <v>0.045</v>
      </c>
    </row>
    <row r="20">
      <c r="A20" t="inlineStr">
        <is>
          <t>Small firm premium</t>
        </is>
      </c>
      <c r="B20" t="n">
        <v>0.0125</v>
      </c>
    </row>
    <row r="21">
      <c r="A21" t="inlineStr">
        <is>
          <t>Marginal tax rate</t>
        </is>
      </c>
      <c r="B21" t="n">
        <v>0.25</v>
      </c>
    </row>
    <row r="22">
      <c r="A22" t="inlineStr">
        <is>
          <t>Cost of debt (pre-tax)</t>
        </is>
      </c>
      <c r="B22" t="n">
        <v>0.05</v>
      </c>
    </row>
    <row r="23">
      <c r="A23" t="inlineStr">
        <is>
          <t>Target debt / equity</t>
        </is>
      </c>
      <c r="B23" t="n">
        <v>0.25</v>
      </c>
    </row>
    <row r="25">
      <c r="A25" s="3" t="inlineStr">
        <is>
          <t>Selected peers beta summary</t>
        </is>
      </c>
    </row>
    <row r="26">
      <c r="A26" t="inlineStr">
        <is>
          <t>Average equity beta</t>
        </is>
      </c>
      <c r="B26">
        <f>IFERROR(AVERAGEIF(C2:C14,1,D2:D14),"")</f>
        <v/>
      </c>
    </row>
    <row r="27">
      <c r="A27" t="inlineStr">
        <is>
          <t>Median equity beta</t>
        </is>
      </c>
      <c r="B27">
        <f>IFERROR(MEDIAN(FILTER(D2:D14,(C2:C14=1)*(D2:D14&lt;&gt;""))),"")</f>
        <v/>
      </c>
    </row>
    <row r="28">
      <c r="A28" t="inlineStr">
        <is>
          <t>Average unlevered beta</t>
        </is>
      </c>
      <c r="B28">
        <f>IFERROR(AVERAGEIF(C2:C14,1,H2:H14),"")</f>
        <v/>
      </c>
    </row>
    <row r="29">
      <c r="A29" t="inlineStr">
        <is>
          <t>Median unlevered beta</t>
        </is>
      </c>
      <c r="B29">
        <f>IFERROR(MEDIAN(FILTER(H2:H14,(C2:C14=1)*(H2:H14&lt;&gt;""))),"")</f>
        <v/>
      </c>
    </row>
    <row r="31">
      <c r="A31" s="3" t="inlineStr">
        <is>
          <t>WACC Calculation</t>
        </is>
      </c>
    </row>
    <row r="32">
      <c r="A32" t="inlineStr">
        <is>
          <t>Relevered beta</t>
        </is>
      </c>
      <c r="B32">
        <f>B28*(1+(1-B21)*B23)</f>
        <v/>
      </c>
    </row>
    <row r="33">
      <c r="A33" t="inlineStr">
        <is>
          <t>Cost of equity</t>
        </is>
      </c>
      <c r="B33">
        <f>B18+B19*B32+B20</f>
        <v/>
      </c>
    </row>
    <row r="34">
      <c r="A34" t="inlineStr">
        <is>
          <t>Cost of debt (after-tax)</t>
        </is>
      </c>
      <c r="B34">
        <f>B22*(1-B21)</f>
        <v/>
      </c>
    </row>
    <row r="35">
      <c r="A35" t="inlineStr">
        <is>
          <t>Target debt weight</t>
        </is>
      </c>
      <c r="B35">
        <f>B23/(1+B23)</f>
        <v/>
      </c>
    </row>
    <row r="36">
      <c r="A36" t="inlineStr">
        <is>
          <t>Target equity weight</t>
        </is>
      </c>
      <c r="B36">
        <f>1-B35</f>
        <v/>
      </c>
    </row>
    <row r="37">
      <c r="A37" t="inlineStr">
        <is>
          <t>WACC</t>
        </is>
      </c>
      <c r="B37">
        <f>B33*B36+B34*B35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2026-02-08T16:51:56Z</dcterms:created>
  <dcterms:modified xsi:type="dcterms:W3CDTF">2026-02-08T16:52:18Z</dcterms:modified>
</cp:coreProperties>
</file>