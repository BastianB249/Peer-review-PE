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CC_Model" sheetId="1" state="visible" r:id="rId1"/>
    <sheet name="CCA_Model" sheetId="2" state="visible" r:id="rId2"/>
    <sheet name="Peer_Rationa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"/>
    <numFmt numFmtId="166" formatCode="0.00x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B2A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165" fontId="0" fillId="0" borderId="1" pivotButton="0" quotePrefix="0" xfId="0"/>
    <xf numFmtId="165" fontId="0" fillId="0" borderId="1" applyAlignment="1" pivotButton="0" quotePrefix="0" xfId="0">
      <alignment horizontal="right"/>
    </xf>
    <xf numFmtId="166" fontId="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Selected</t>
        </is>
      </c>
      <c r="C1" s="1" t="inlineStr">
        <is>
          <t>Levered Beta</t>
        </is>
      </c>
      <c r="D1" s="1" t="inlineStr">
        <is>
          <t>Net Debt</t>
        </is>
      </c>
      <c r="E1" s="1" t="inlineStr">
        <is>
          <t>Market Cap</t>
        </is>
      </c>
      <c r="F1" s="1" t="inlineStr">
        <is>
          <t>D/E</t>
        </is>
      </c>
      <c r="G1" s="1" t="inlineStr">
        <is>
          <t>Unlevered Beta</t>
        </is>
      </c>
    </row>
    <row r="2">
      <c r="A2" t="inlineStr">
        <is>
          <t>Aalberts</t>
        </is>
      </c>
      <c r="B2" t="n">
        <v>1</v>
      </c>
      <c r="C2" t="n">
        <v>1.264</v>
      </c>
      <c r="D2" t="n">
        <v>596.8000000000001</v>
      </c>
      <c r="E2" t="n">
        <v>3756.007424</v>
      </c>
      <c r="F2">
        <f>IFERROR(D2/E2,"")</f>
        <v/>
      </c>
      <c r="G2">
        <f>IFERROR(C2/(1+(1-0.25)*F2),"")</f>
        <v/>
      </c>
    </row>
    <row r="3">
      <c r="A3" t="inlineStr">
        <is>
          <t>Dürr AG</t>
        </is>
      </c>
      <c r="B3" t="n">
        <v>1</v>
      </c>
      <c r="C3" t="n">
        <v>1.33</v>
      </c>
      <c r="D3" t="n">
        <v>493.626</v>
      </c>
      <c r="E3" t="n">
        <v>1705.831296</v>
      </c>
      <c r="F3">
        <f>IFERROR(D3/E3,"")</f>
        <v/>
      </c>
      <c r="G3">
        <f>IFERROR(C3/(1+(1-0.25)*F3),"")</f>
        <v/>
      </c>
    </row>
    <row r="4">
      <c r="A4" t="inlineStr">
        <is>
          <t>Basler</t>
        </is>
      </c>
      <c r="B4" t="n">
        <v>1</v>
      </c>
      <c r="C4" t="n">
        <v>2.419</v>
      </c>
      <c r="D4" t="n">
        <v>50.76</v>
      </c>
      <c r="E4" t="n">
        <v>471.668672</v>
      </c>
      <c r="F4">
        <f>IFERROR(D4/E4,"")</f>
        <v/>
      </c>
      <c r="G4">
        <f>IFERROR(C4/(1+(1-0.25)*F4),"")</f>
        <v/>
      </c>
    </row>
    <row r="5">
      <c r="A5" t="inlineStr">
        <is>
          <t>Cognex</t>
        </is>
      </c>
      <c r="B5" t="n">
        <v>1</v>
      </c>
      <c r="C5" t="n">
        <v>1.534</v>
      </c>
      <c r="D5" t="n">
        <v>-260.376</v>
      </c>
      <c r="E5" t="n">
        <v>9268.873216</v>
      </c>
      <c r="F5">
        <f>IFERROR(D5/E5,"")</f>
        <v/>
      </c>
      <c r="G5">
        <f>IFERROR(C5/(1+(1-0.25)*F5),"")</f>
        <v/>
      </c>
    </row>
    <row r="6">
      <c r="A6" t="inlineStr">
        <is>
          <t>Jenoptik</t>
        </is>
      </c>
      <c r="B6" t="n">
        <v>1</v>
      </c>
      <c r="C6" t="n">
        <v>1.25</v>
      </c>
      <c r="D6" t="n">
        <v>396.219</v>
      </c>
      <c r="E6" t="n">
        <v>1577.482496</v>
      </c>
      <c r="F6">
        <f>IFERROR(D6/E6,"")</f>
        <v/>
      </c>
      <c r="G6">
        <f>IFERROR(C6/(1+(1-0.25)*F6),"")</f>
        <v/>
      </c>
    </row>
    <row r="7">
      <c r="A7" t="inlineStr">
        <is>
          <t>Huber+Suhner</t>
        </is>
      </c>
      <c r="B7" t="n">
        <v>1</v>
      </c>
      <c r="C7" t="n">
        <v>0.725</v>
      </c>
      <c r="D7" t="n">
        <v>-165.2416</v>
      </c>
      <c r="E7" t="n">
        <v>3351.130368</v>
      </c>
      <c r="F7">
        <f>IFERROR(D7/E7,"")</f>
        <v/>
      </c>
      <c r="G7">
        <f>IFERROR(C7/(1+(1-0.25)*F7),"")</f>
        <v/>
      </c>
    </row>
    <row r="8">
      <c r="A8" t="inlineStr">
        <is>
          <t>NKT</t>
        </is>
      </c>
      <c r="B8" t="n">
        <v>0</v>
      </c>
      <c r="C8" t="n">
        <v>0.68</v>
      </c>
      <c r="D8" t="n">
        <v>-1280</v>
      </c>
      <c r="E8" t="n">
        <v>42573.283328</v>
      </c>
      <c r="F8">
        <f>IFERROR(D8/E8,"")</f>
        <v/>
      </c>
      <c r="G8">
        <f>IFERROR(C8/(1+(1-0.25)*F8),"")</f>
        <v/>
      </c>
    </row>
    <row r="9">
      <c r="A9" t="inlineStr">
        <is>
          <t>Mersen</t>
        </is>
      </c>
      <c r="B9" t="n">
        <v>0</v>
      </c>
      <c r="C9" t="n">
        <v>1.331</v>
      </c>
      <c r="D9" t="n">
        <v>426.2</v>
      </c>
      <c r="E9" t="n">
        <v>653.744128</v>
      </c>
      <c r="F9">
        <f>IFERROR(D9/E9,"")</f>
        <v/>
      </c>
      <c r="G9">
        <f>IFERROR(C9/(1+(1-0.25)*F9),"")</f>
        <v/>
      </c>
    </row>
    <row r="10">
      <c r="A10" t="inlineStr">
        <is>
          <t>TKH (subject company)</t>
        </is>
      </c>
      <c r="B10" t="n">
        <v>0</v>
      </c>
      <c r="C10" t="n">
        <v>0.99</v>
      </c>
      <c r="D10" t="n">
        <v>584.726</v>
      </c>
      <c r="E10" t="n">
        <v>1577.021952</v>
      </c>
      <c r="F10">
        <f>IFERROR(D10/E10,"")</f>
        <v/>
      </c>
      <c r="G10">
        <f>IFERROR(C10/(1+(1-0.25)*F10),"")</f>
        <v/>
      </c>
    </row>
    <row r="11"/>
    <row r="12"/>
    <row r="13">
      <c r="A13" t="inlineStr">
        <is>
          <t>Beta methodology</t>
        </is>
      </c>
      <c r="B13" t="inlineStr">
        <is>
          <t>5Y / Monthly / MSCI World</t>
        </is>
      </c>
    </row>
    <row r="14">
      <c r="A14" t="inlineStr">
        <is>
          <t>Mean levered beta</t>
        </is>
      </c>
      <c r="B14">
        <f>AVERAGEIF(B2:B10,1,C2:C10)</f>
        <v/>
      </c>
    </row>
    <row r="15">
      <c r="A15" t="inlineStr">
        <is>
          <t>Median levered beta</t>
        </is>
      </c>
      <c r="B15">
        <f>MEDIAN(IF(B2:B10=1,C2:C10))</f>
        <v/>
      </c>
    </row>
    <row r="16">
      <c r="A16" t="inlineStr">
        <is>
          <t>Mean unlevered beta</t>
        </is>
      </c>
      <c r="B16">
        <f>AVERAGEIF(B2:B10,1,G2:G10)</f>
        <v/>
      </c>
    </row>
    <row r="17">
      <c r="A17" t="inlineStr">
        <is>
          <t>Median unlevered beta</t>
        </is>
      </c>
      <c r="B17">
        <f>MEDIAN(IF(B2:B10=1,G2:G10))</f>
        <v/>
      </c>
    </row>
    <row r="18">
      <c r="A18" t="inlineStr">
        <is>
          <t>Relevered beta</t>
        </is>
      </c>
      <c r="B18">
        <f>B17*(1+(1-0.25)*0.25)</f>
        <v/>
      </c>
    </row>
    <row r="19">
      <c r="A19" t="inlineStr">
        <is>
          <t>Risk free</t>
        </is>
      </c>
      <c r="B19" t="n">
        <v>0.03</v>
      </c>
    </row>
    <row r="20">
      <c r="A20" t="inlineStr">
        <is>
          <t>ERP</t>
        </is>
      </c>
      <c r="B20" t="n">
        <v>0.055</v>
      </c>
    </row>
    <row r="21">
      <c r="A21" t="inlineStr">
        <is>
          <t>Small firm premium</t>
        </is>
      </c>
      <c r="B21" t="n">
        <v>0.0125</v>
      </c>
    </row>
    <row r="22">
      <c r="A22" t="inlineStr">
        <is>
          <t>Cost of equity</t>
        </is>
      </c>
      <c r="B22">
        <f>B19+B18*B20+B21</f>
        <v/>
      </c>
    </row>
    <row r="23">
      <c r="A23" t="inlineStr">
        <is>
          <t>Cost of debt (pre-tax)</t>
        </is>
      </c>
      <c r="B23" t="n">
        <v>0.055</v>
      </c>
    </row>
    <row r="24">
      <c r="A24" t="inlineStr">
        <is>
          <t>Cost of debt methodology</t>
        </is>
      </c>
      <c r="B24" t="inlineStr">
        <is>
          <t>Assumption (Rf + spread proxy); replace with issuer-implied yield when available</t>
        </is>
      </c>
    </row>
    <row r="25">
      <c r="A25" t="inlineStr">
        <is>
          <t>WACC</t>
        </is>
      </c>
      <c r="B25">
        <f>B22*(1/(1+0.25))+B23*(1-0.25)*(0.25/(1+0.25))</f>
        <v/>
      </c>
    </row>
    <row r="26">
      <c r="A26" t="inlineStr">
        <is>
          <t>ERP source</t>
        </is>
      </c>
      <c r="B26" t="inlineStr">
        <is>
          <t>KPMG cost of capital study (manual input required in this environment)</t>
        </is>
      </c>
    </row>
    <row r="27">
      <c r="A27" t="inlineStr">
        <is>
          <t>SFP source</t>
        </is>
      </c>
      <c r="B27" t="inlineStr">
        <is>
          <t>KPMG size premium table (manual input required in this environment)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9" customWidth="1" min="4" max="4"/>
    <col width="9" customWidth="1" min="5" max="5"/>
    <col width="10" customWidth="1" min="6" max="6"/>
    <col width="14" customWidth="1" min="7" max="7"/>
    <col width="16" customWidth="1" min="8" max="8"/>
    <col width="18" customWidth="1" min="9" max="9"/>
    <col width="14" customWidth="1" min="10" max="10"/>
    <col width="16" customWidth="1" min="11" max="11"/>
    <col width="16" customWidth="1" min="12" max="12"/>
    <col width="14" customWidth="1" min="13" max="13"/>
    <col width="16" customWidth="1" min="14" max="14"/>
    <col width="16" customWidth="1" min="15" max="15"/>
    <col width="14" customWidth="1" min="16" max="16"/>
    <col width="12" customWidth="1" min="17" max="17"/>
    <col width="13" customWidth="1" min="18" max="18"/>
    <col width="11" customWidth="1" min="19" max="19"/>
    <col width="12" customWidth="1" min="20" max="20"/>
    <col width="13" customWidth="1" min="21" max="21"/>
    <col width="11" customWidth="1" min="22" max="22"/>
  </cols>
  <sheetData>
    <row r="1">
      <c r="A1" s="2" t="inlineStr">
        <is>
          <t>COMPARABLE COMPANY ANALYSIS (Trading Comps)</t>
        </is>
      </c>
    </row>
    <row r="3">
      <c r="A3" s="3" t="inlineStr">
        <is>
          <t>Company</t>
        </is>
      </c>
      <c r="B3" s="3" t="inlineStr">
        <is>
          <t>Ticker</t>
        </is>
      </c>
      <c r="C3" s="3" t="inlineStr">
        <is>
          <t>Role</t>
        </is>
      </c>
      <c r="D3" s="3" t="inlineStr">
        <is>
          <t>Selected</t>
        </is>
      </c>
      <c r="E3" s="3" t="inlineStr">
        <is>
          <t>Currency</t>
        </is>
      </c>
      <c r="F3" s="3" t="inlineStr">
        <is>
          <t>FX to EUR</t>
        </is>
      </c>
      <c r="G3" s="3" t="inlineStr">
        <is>
          <t>Share Price (CCY)</t>
        </is>
      </c>
      <c r="H3" s="3" t="inlineStr">
        <is>
          <t>Market Cap (EUR m)</t>
        </is>
      </c>
      <c r="I3" s="3" t="inlineStr">
        <is>
          <t>Enterprise Value (EUR m)</t>
        </is>
      </c>
      <c r="J3" s="3" t="inlineStr">
        <is>
          <t>Net Debt (EUR m)</t>
        </is>
      </c>
      <c r="K3" s="3" t="inlineStr">
        <is>
          <t>Revenue 2023 (EUR m)</t>
        </is>
      </c>
      <c r="L3" s="3" t="inlineStr">
        <is>
          <t>EBITDA 2023 (EUR m)</t>
        </is>
      </c>
      <c r="M3" s="3" t="inlineStr">
        <is>
          <t>EBIT 2023 (EUR m)</t>
        </is>
      </c>
      <c r="N3" s="3" t="inlineStr">
        <is>
          <t>Revenue 2024 (EUR m)</t>
        </is>
      </c>
      <c r="O3" s="3" t="inlineStr">
        <is>
          <t>EBITDA 2024 (EUR m)</t>
        </is>
      </c>
      <c r="P3" s="3" t="inlineStr">
        <is>
          <t>EBIT 2024 (EUR m)</t>
        </is>
      </c>
      <c r="Q3" s="3" t="inlineStr">
        <is>
          <t>EV/Sales 2023</t>
        </is>
      </c>
      <c r="R3" s="3" t="inlineStr">
        <is>
          <t>EV/EBITDA 2023</t>
        </is>
      </c>
      <c r="S3" s="3" t="inlineStr">
        <is>
          <t>EV/EBIT 2023</t>
        </is>
      </c>
      <c r="T3" s="3" t="inlineStr">
        <is>
          <t>EV/Sales 2024</t>
        </is>
      </c>
      <c r="U3" s="3" t="inlineStr">
        <is>
          <t>EV/EBITDA 2024</t>
        </is>
      </c>
      <c r="V3" s="3" t="inlineStr">
        <is>
          <t>EV/EBIT 2024</t>
        </is>
      </c>
    </row>
    <row r="4">
      <c r="A4" s="4" t="inlineStr">
        <is>
          <t>Aalberts</t>
        </is>
      </c>
      <c r="B4" s="4" t="inlineStr">
        <is>
          <t>AALB.AS</t>
        </is>
      </c>
      <c r="C4" s="4" t="inlineStr">
        <is>
          <t>Peer</t>
        </is>
      </c>
      <c r="D4" s="4" t="n">
        <v>1</v>
      </c>
      <c r="E4" s="4" t="inlineStr">
        <is>
          <t>EUR</t>
        </is>
      </c>
      <c r="F4" s="5" t="n">
        <v>1</v>
      </c>
      <c r="G4" s="6" t="n">
        <v>34.63999938964844</v>
      </c>
      <c r="H4" s="7">
        <f>IFERROR(J4*F4,"")</f>
        <v/>
      </c>
      <c r="I4" s="7">
        <f>IFERROR(K4*F4,"")</f>
        <v/>
      </c>
      <c r="J4" s="8" t="n">
        <v>3756.007424</v>
      </c>
      <c r="K4" s="8" t="n">
        <v>4866.511872</v>
      </c>
      <c r="L4" s="7">
        <f>IFERROR(R4*F4,"")</f>
        <v/>
      </c>
      <c r="M4" s="7">
        <f>IFERROR(S4*F4,"")</f>
        <v/>
      </c>
      <c r="N4" s="8" t="n">
        <v>596.8000000000001</v>
      </c>
      <c r="O4" s="7">
        <f>IFERROR(X4*F4,"")</f>
        <v/>
      </c>
      <c r="P4" s="7">
        <f>IFERROR(Y4*F4,"")</f>
        <v/>
      </c>
      <c r="Q4" s="9">
        <f>IFERROR(I4/K4,"")</f>
        <v/>
      </c>
      <c r="R4" s="9">
        <f>IFERROR(I4/L4,"")</f>
        <v/>
      </c>
      <c r="S4" s="9">
        <f>IFERROR(I4/M4,"")</f>
        <v/>
      </c>
      <c r="T4" s="9">
        <f>IFERROR(I4/N4,"")</f>
        <v/>
      </c>
      <c r="U4" s="9">
        <f>IFERROR(I4/O4,"")</f>
        <v/>
      </c>
      <c r="V4" s="9">
        <f>IFERROR(I4/P4,"")</f>
        <v/>
      </c>
      <c r="W4" t="n">
        <v>3148.6</v>
      </c>
      <c r="X4" t="n">
        <v>511.1</v>
      </c>
      <c r="Y4" t="n">
        <v>292.6</v>
      </c>
    </row>
    <row r="5">
      <c r="A5" s="4" t="inlineStr">
        <is>
          <t>Dürr AG</t>
        </is>
      </c>
      <c r="B5" s="4" t="inlineStr">
        <is>
          <t>DUE.DE</t>
        </is>
      </c>
      <c r="C5" s="4" t="inlineStr">
        <is>
          <t>Peer</t>
        </is>
      </c>
      <c r="D5" s="4" t="n">
        <v>1</v>
      </c>
      <c r="E5" s="4" t="inlineStr">
        <is>
          <t>EUR</t>
        </is>
      </c>
      <c r="F5" s="5" t="n">
        <v>1</v>
      </c>
      <c r="G5" s="6" t="n">
        <v>24.64999961853027</v>
      </c>
      <c r="H5" s="7">
        <f>IFERROR(J5*F5,"")</f>
        <v/>
      </c>
      <c r="I5" s="7">
        <f>IFERROR(K5*F5,"")</f>
        <v/>
      </c>
      <c r="J5" s="8" t="n">
        <v>1705.831296</v>
      </c>
      <c r="K5" s="8" t="n">
        <v>2194.064128</v>
      </c>
      <c r="L5" s="7">
        <f>IFERROR(R5*F5,"")</f>
        <v/>
      </c>
      <c r="M5" s="7">
        <f>IFERROR(S5*F5,"")</f>
        <v/>
      </c>
      <c r="N5" s="8" t="n">
        <v>493.626</v>
      </c>
      <c r="O5" s="7">
        <f>IFERROR(X5*F5,"")</f>
        <v/>
      </c>
      <c r="P5" s="7">
        <f>IFERROR(Y5*F5,"")</f>
        <v/>
      </c>
      <c r="Q5" s="9">
        <f>IFERROR(I5/K5,"")</f>
        <v/>
      </c>
      <c r="R5" s="9">
        <f>IFERROR(I5/L5,"")</f>
        <v/>
      </c>
      <c r="S5" s="9">
        <f>IFERROR(I5/M5,"")</f>
        <v/>
      </c>
      <c r="T5" s="9">
        <f>IFERROR(I5/N5,"")</f>
        <v/>
      </c>
      <c r="U5" s="9">
        <f>IFERROR(I5/O5,"")</f>
        <v/>
      </c>
      <c r="V5" s="9">
        <f>IFERROR(I5/P5,"")</f>
        <v/>
      </c>
      <c r="W5" t="n">
        <v>4290.936</v>
      </c>
      <c r="X5" t="n">
        <v>345.838</v>
      </c>
      <c r="Y5" t="n">
        <v>183.517</v>
      </c>
    </row>
    <row r="6">
      <c r="A6" s="4" t="inlineStr">
        <is>
          <t>Basler</t>
        </is>
      </c>
      <c r="B6" s="4" t="inlineStr">
        <is>
          <t>BSL.DE</t>
        </is>
      </c>
      <c r="C6" s="4" t="inlineStr">
        <is>
          <t>Peer</t>
        </is>
      </c>
      <c r="D6" s="4" t="n">
        <v>1</v>
      </c>
      <c r="E6" s="4" t="inlineStr">
        <is>
          <t>EUR</t>
        </is>
      </c>
      <c r="F6" s="5" t="n">
        <v>1</v>
      </c>
      <c r="G6" s="6" t="n">
        <v>15.34000015258789</v>
      </c>
      <c r="H6" s="7">
        <f>IFERROR(J6*F6,"")</f>
        <v/>
      </c>
      <c r="I6" s="7">
        <f>IFERROR(K6*F6,"")</f>
        <v/>
      </c>
      <c r="J6" s="8" t="n">
        <v>471.668672</v>
      </c>
      <c r="K6" s="8" t="n">
        <v>531.607264</v>
      </c>
      <c r="L6" s="7">
        <f>IFERROR(R6*F6,"")</f>
        <v/>
      </c>
      <c r="M6" s="7">
        <f>IFERROR(S6*F6,"")</f>
        <v/>
      </c>
      <c r="N6" s="8" t="n">
        <v>50.76</v>
      </c>
      <c r="O6" s="7">
        <f>IFERROR(X6*F6,"")</f>
        <v/>
      </c>
      <c r="P6" s="7">
        <f>IFERROR(Y6*F6,"")</f>
        <v/>
      </c>
      <c r="Q6" s="9">
        <f>IFERROR(I6/K6,"")</f>
        <v/>
      </c>
      <c r="R6" s="9">
        <f>IFERROR(I6/L6,"")</f>
        <v/>
      </c>
      <c r="S6" s="9">
        <f>IFERROR(I6/M6,"")</f>
        <v/>
      </c>
      <c r="T6" s="9">
        <f>IFERROR(I6/N6,"")</f>
        <v/>
      </c>
      <c r="U6" s="9">
        <f>IFERROR(I6/O6,"")</f>
        <v/>
      </c>
      <c r="V6" s="9">
        <f>IFERROR(I6/P6,"")</f>
        <v/>
      </c>
      <c r="W6" t="n">
        <v>184.926</v>
      </c>
      <c r="X6" t="n">
        <v>9.438000000000001</v>
      </c>
      <c r="Y6" t="n">
        <v>-10.357</v>
      </c>
    </row>
    <row r="7">
      <c r="A7" s="4" t="inlineStr">
        <is>
          <t>Cognex</t>
        </is>
      </c>
      <c r="B7" s="4" t="inlineStr">
        <is>
          <t>CGNX</t>
        </is>
      </c>
      <c r="C7" s="4" t="inlineStr">
        <is>
          <t>Peer</t>
        </is>
      </c>
      <c r="D7" s="4" t="n">
        <v>1</v>
      </c>
      <c r="E7" s="4" t="inlineStr">
        <is>
          <t>USD</t>
        </is>
      </c>
      <c r="F7" s="5" t="n">
        <v>0.8497999906539917</v>
      </c>
      <c r="G7" s="6" t="n">
        <v>55.93500137329102</v>
      </c>
      <c r="H7" s="7">
        <f>IFERROR(J7*F7,"")</f>
        <v/>
      </c>
      <c r="I7" s="7">
        <f>IFERROR(K7*F7,"")</f>
        <v/>
      </c>
      <c r="J7" s="8" t="n">
        <v>9268.873216</v>
      </c>
      <c r="K7" s="8" t="n">
        <v>9138.577407999999</v>
      </c>
      <c r="L7" s="7">
        <f>IFERROR(R7*F7,"")</f>
        <v/>
      </c>
      <c r="M7" s="7">
        <f>IFERROR(S7*F7,"")</f>
        <v/>
      </c>
      <c r="N7" s="8" t="n">
        <v>-260.376</v>
      </c>
      <c r="O7" s="7">
        <f>IFERROR(X7*F7,"")</f>
        <v/>
      </c>
      <c r="P7" s="7">
        <f>IFERROR(Y7*F7,"")</f>
        <v/>
      </c>
      <c r="Q7" s="9">
        <f>IFERROR(I7/K7,"")</f>
        <v/>
      </c>
      <c r="R7" s="9">
        <f>IFERROR(I7/L7,"")</f>
        <v/>
      </c>
      <c r="S7" s="9">
        <f>IFERROR(I7/M7,"")</f>
        <v/>
      </c>
      <c r="T7" s="9">
        <f>IFERROR(I7/N7,"")</f>
        <v/>
      </c>
      <c r="U7" s="9">
        <f>IFERROR(I7/O7,"")</f>
        <v/>
      </c>
      <c r="V7" s="9">
        <f>IFERROR(I7/P7,"")</f>
        <v/>
      </c>
      <c r="W7" t="n">
        <v>914.515</v>
      </c>
      <c r="X7" t="n">
        <v>156.39</v>
      </c>
      <c r="Y7" t="n">
        <v>124.579</v>
      </c>
    </row>
    <row r="8">
      <c r="A8" s="4" t="inlineStr">
        <is>
          <t>Jenoptik</t>
        </is>
      </c>
      <c r="B8" s="4" t="inlineStr">
        <is>
          <t>JEN.DE</t>
        </is>
      </c>
      <c r="C8" s="4" t="inlineStr">
        <is>
          <t>Peer</t>
        </is>
      </c>
      <c r="D8" s="4" t="n">
        <v>1</v>
      </c>
      <c r="E8" s="4" t="inlineStr">
        <is>
          <t>EUR</t>
        </is>
      </c>
      <c r="F8" s="5" t="n">
        <v>1</v>
      </c>
      <c r="G8" s="6" t="n">
        <v>27.55999946594238</v>
      </c>
      <c r="H8" s="7">
        <f>IFERROR(J8*F8,"")</f>
        <v/>
      </c>
      <c r="I8" s="7">
        <f>IFERROR(K8*F8,"")</f>
        <v/>
      </c>
      <c r="J8" s="8" t="n">
        <v>1577.482496</v>
      </c>
      <c r="K8" s="8" t="n">
        <v>1977.283456</v>
      </c>
      <c r="L8" s="7">
        <f>IFERROR(R8*F8,"")</f>
        <v/>
      </c>
      <c r="M8" s="7">
        <f>IFERROR(S8*F8,"")</f>
        <v/>
      </c>
      <c r="N8" s="8" t="n">
        <v>396.219</v>
      </c>
      <c r="O8" s="7">
        <f>IFERROR(X8*F8,"")</f>
        <v/>
      </c>
      <c r="P8" s="7">
        <f>IFERROR(Y8*F8,"")</f>
        <v/>
      </c>
      <c r="Q8" s="9">
        <f>IFERROR(I8/K8,"")</f>
        <v/>
      </c>
      <c r="R8" s="9">
        <f>IFERROR(I8/L8,"")</f>
        <v/>
      </c>
      <c r="S8" s="9">
        <f>IFERROR(I8/M8,"")</f>
        <v/>
      </c>
      <c r="T8" s="9">
        <f>IFERROR(I8/N8,"")</f>
        <v/>
      </c>
      <c r="U8" s="9">
        <f>IFERROR(I8/O8,"")</f>
        <v/>
      </c>
      <c r="V8" s="9">
        <f>IFERROR(I8/P8,"")</f>
        <v/>
      </c>
      <c r="W8" t="n">
        <v>1115.787</v>
      </c>
      <c r="X8" t="n">
        <v>220.838</v>
      </c>
      <c r="Y8" t="n">
        <v>145.926</v>
      </c>
    </row>
    <row r="9">
      <c r="A9" s="4" t="inlineStr">
        <is>
          <t>Huber+Suhner</t>
        </is>
      </c>
      <c r="B9" s="4" t="inlineStr">
        <is>
          <t>HUBN.SW</t>
        </is>
      </c>
      <c r="C9" s="4" t="inlineStr">
        <is>
          <t>Peer</t>
        </is>
      </c>
      <c r="D9" s="4" t="n">
        <v>1</v>
      </c>
      <c r="E9" s="4" t="inlineStr">
        <is>
          <t>CHF</t>
        </is>
      </c>
      <c r="F9" s="5" t="n">
        <v>1.095299959182739</v>
      </c>
      <c r="G9" s="6" t="n">
        <v>181.6000061035156</v>
      </c>
      <c r="H9" s="7">
        <f>IFERROR(J9*F9,"")</f>
        <v/>
      </c>
      <c r="I9" s="7">
        <f>IFERROR(K9*F9,"")</f>
        <v/>
      </c>
      <c r="J9" s="8" t="n">
        <v>3351.130368</v>
      </c>
      <c r="K9" s="8" t="n">
        <v>3185.888768</v>
      </c>
      <c r="L9" s="7">
        <f>IFERROR(R9*F9,"")</f>
        <v/>
      </c>
      <c r="M9" s="7">
        <f>IFERROR(S9*F9,"")</f>
        <v/>
      </c>
      <c r="N9" s="7" t="n"/>
      <c r="O9" s="7">
        <f>IFERROR(X9*F9,"")</f>
        <v/>
      </c>
      <c r="P9" s="7">
        <f>IFERROR(Y9*F9,"")</f>
        <v/>
      </c>
      <c r="Q9" s="9">
        <f>IFERROR(I9/K9,"")</f>
        <v/>
      </c>
      <c r="R9" s="9">
        <f>IFERROR(I9/L9,"")</f>
        <v/>
      </c>
      <c r="S9" s="9">
        <f>IFERROR(I9/M9,"")</f>
        <v/>
      </c>
      <c r="T9" s="9">
        <f>IFERROR(I9/N9,"")</f>
        <v/>
      </c>
      <c r="U9" s="9">
        <f>IFERROR(I9/O9,"")</f>
        <v/>
      </c>
      <c r="V9" s="9">
        <f>IFERROR(I9/P9,"")</f>
        <v/>
      </c>
      <c r="W9" t="n">
        <v>893.874</v>
      </c>
      <c r="X9" t="n">
        <v>121.844</v>
      </c>
      <c r="Y9" t="n">
        <v>85.85899999999999</v>
      </c>
    </row>
    <row r="10">
      <c r="A10" s="4" t="inlineStr">
        <is>
          <t>NKT</t>
        </is>
      </c>
      <c r="B10" s="4" t="inlineStr">
        <is>
          <t>NKT.CO</t>
        </is>
      </c>
      <c r="C10" s="4" t="inlineStr">
        <is>
          <t>Peer</t>
        </is>
      </c>
      <c r="D10" s="4" t="n">
        <v>1</v>
      </c>
      <c r="E10" s="4" t="inlineStr">
        <is>
          <t>DKK</t>
        </is>
      </c>
      <c r="F10" s="5" t="n">
        <v>0.1337099969387054</v>
      </c>
      <c r="G10" s="6" t="n">
        <v>796.5</v>
      </c>
      <c r="H10" s="7">
        <f>IFERROR(J10*F10,"")</f>
        <v/>
      </c>
      <c r="I10" s="7">
        <f>IFERROR(K10*F10,"")</f>
        <v/>
      </c>
      <c r="J10" s="8" t="n">
        <v>42573.283328</v>
      </c>
      <c r="K10" s="8" t="n">
        <v>43598.422016</v>
      </c>
      <c r="L10" s="7">
        <f>IFERROR(R10*F10,"")</f>
        <v/>
      </c>
      <c r="M10" s="7">
        <f>IFERROR(S10*F10,"")</f>
        <v/>
      </c>
      <c r="N10" s="8" t="n">
        <v>-1280</v>
      </c>
      <c r="O10" s="7">
        <f>IFERROR(X10*F10,"")</f>
        <v/>
      </c>
      <c r="P10" s="7">
        <f>IFERROR(Y10*F10,"")</f>
        <v/>
      </c>
      <c r="Q10" s="9">
        <f>IFERROR(I10/K10,"")</f>
        <v/>
      </c>
      <c r="R10" s="9">
        <f>IFERROR(I10/L10,"")</f>
        <v/>
      </c>
      <c r="S10" s="9">
        <f>IFERROR(I10/M10,"")</f>
        <v/>
      </c>
      <c r="T10" s="9">
        <f>IFERROR(I10/N10,"")</f>
        <v/>
      </c>
      <c r="U10" s="9">
        <f>IFERROR(I10/O10,"")</f>
        <v/>
      </c>
      <c r="V10" s="9">
        <f>IFERROR(I10/P10,"")</f>
        <v/>
      </c>
      <c r="W10" t="n">
        <v>3252</v>
      </c>
      <c r="X10" t="n">
        <v>384</v>
      </c>
      <c r="Y10" t="n">
        <v>282</v>
      </c>
    </row>
    <row r="11">
      <c r="A11" s="4" t="inlineStr">
        <is>
          <t>Mersen</t>
        </is>
      </c>
      <c r="B11" s="4" t="inlineStr">
        <is>
          <t>MRN.PA</t>
        </is>
      </c>
      <c r="C11" s="4" t="inlineStr">
        <is>
          <t>Peer</t>
        </is>
      </c>
      <c r="D11" s="4" t="n">
        <v>1</v>
      </c>
      <c r="E11" s="4" t="inlineStr">
        <is>
          <t>EUR</t>
        </is>
      </c>
      <c r="F11" s="5" t="n">
        <v>1</v>
      </c>
      <c r="G11" s="6" t="n">
        <v>26.85000038146973</v>
      </c>
      <c r="H11" s="7">
        <f>IFERROR(J11*F11,"")</f>
        <v/>
      </c>
      <c r="I11" s="7">
        <f>IFERROR(K11*F11,"")</f>
        <v/>
      </c>
      <c r="J11" s="8" t="n">
        <v>653.744128</v>
      </c>
      <c r="K11" s="8" t="n">
        <v>1137.004288</v>
      </c>
      <c r="L11" s="7">
        <f>IFERROR(R11*F11,"")</f>
        <v/>
      </c>
      <c r="M11" s="7">
        <f>IFERROR(S11*F11,"")</f>
        <v/>
      </c>
      <c r="N11" s="8" t="n">
        <v>426.2</v>
      </c>
      <c r="O11" s="7">
        <f>IFERROR(X11*F11,"")</f>
        <v/>
      </c>
      <c r="P11" s="7">
        <f>IFERROR(Y11*F11,"")</f>
        <v/>
      </c>
      <c r="Q11" s="9">
        <f>IFERROR(I11/K11,"")</f>
        <v/>
      </c>
      <c r="R11" s="9">
        <f>IFERROR(I11/L11,"")</f>
        <v/>
      </c>
      <c r="S11" s="9">
        <f>IFERROR(I11/M11,"")</f>
        <v/>
      </c>
      <c r="T11" s="9">
        <f>IFERROR(I11/N11,"")</f>
        <v/>
      </c>
      <c r="U11" s="9">
        <f>IFERROR(I11/O11,"")</f>
        <v/>
      </c>
      <c r="V11" s="9">
        <f>IFERROR(I11/P11,"")</f>
        <v/>
      </c>
      <c r="W11" t="n">
        <v>1243.6</v>
      </c>
      <c r="X11" t="n">
        <v>176.5</v>
      </c>
      <c r="Y11" t="n">
        <v>102</v>
      </c>
    </row>
    <row r="12">
      <c r="A12" s="4" t="inlineStr">
        <is>
          <t>TKH (subject company)</t>
        </is>
      </c>
      <c r="B12" s="4" t="inlineStr">
        <is>
          <t>TWEKA.AS</t>
        </is>
      </c>
      <c r="C12" s="4" t="inlineStr">
        <is>
          <t>Subject</t>
        </is>
      </c>
      <c r="D12" s="4" t="n">
        <v>1</v>
      </c>
      <c r="E12" s="4" t="inlineStr">
        <is>
          <t>EUR</t>
        </is>
      </c>
      <c r="F12" s="5" t="n">
        <v>1</v>
      </c>
      <c r="G12" s="6" t="n">
        <v>39.54000091552734</v>
      </c>
      <c r="H12" s="7">
        <f>IFERROR(J12*F12,"")</f>
        <v/>
      </c>
      <c r="I12" s="7">
        <f>IFERROR(K12*F12,"")</f>
        <v/>
      </c>
      <c r="J12" s="8" t="n">
        <v>1577.021952</v>
      </c>
      <c r="K12" s="8" t="n">
        <v>2270.080256</v>
      </c>
      <c r="L12" s="7">
        <f>IFERROR(R12*F12,"")</f>
        <v/>
      </c>
      <c r="M12" s="7">
        <f>IFERROR(S12*F12,"")</f>
        <v/>
      </c>
      <c r="N12" s="8" t="n">
        <v>584.726</v>
      </c>
      <c r="O12" s="7">
        <f>IFERROR(X12*F12,"")</f>
        <v/>
      </c>
      <c r="P12" s="7">
        <f>IFERROR(Y12*F12,"")</f>
        <v/>
      </c>
      <c r="Q12" s="9">
        <f>IFERROR(I12/K12,"")</f>
        <v/>
      </c>
      <c r="R12" s="9">
        <f>IFERROR(I12/L12,"")</f>
        <v/>
      </c>
      <c r="S12" s="9">
        <f>IFERROR(I12/M12,"")</f>
        <v/>
      </c>
      <c r="T12" s="9">
        <f>IFERROR(I12/N12,"")</f>
        <v/>
      </c>
      <c r="U12" s="9">
        <f>IFERROR(I12/O12,"")</f>
        <v/>
      </c>
      <c r="V12" s="9">
        <f>IFERROR(I12/P12,"")</f>
        <v/>
      </c>
      <c r="W12" t="n">
        <v>1712.735</v>
      </c>
      <c r="X12" t="n">
        <v>266.821</v>
      </c>
      <c r="Y12" t="n">
        <v>153.673</v>
      </c>
    </row>
    <row r="14">
      <c r="A14" s="10" t="inlineStr">
        <is>
          <t>Average (peers only)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0">
        <f>AVERAGEIF(Q4:Q11,"&gt;0")</f>
        <v/>
      </c>
      <c r="R14" s="10">
        <f>AVERAGEIF(R4:R11,"&gt;0")</f>
        <v/>
      </c>
      <c r="S14" s="10">
        <f>AVERAGEIF(S4:S11,"&gt;0")</f>
        <v/>
      </c>
      <c r="T14" s="10">
        <f>AVERAGEIF(T4:T11,"&gt;0")</f>
        <v/>
      </c>
      <c r="U14" s="10">
        <f>AVERAGEIF(U4:U11,"&gt;0")</f>
        <v/>
      </c>
      <c r="V14" s="10">
        <f>AVERAGEIF(V4:V11,"&gt;0")</f>
        <v/>
      </c>
    </row>
    <row r="15">
      <c r="A15" s="10" t="inlineStr">
        <is>
          <t>Median (peers only)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0">
        <f>MEDIAN(IF(Q4:Q11&gt;0,Q4:Q11))</f>
        <v/>
      </c>
      <c r="R15" s="10">
        <f>MEDIAN(IF(R4:R11&gt;0,R4:R11))</f>
        <v/>
      </c>
      <c r="S15" s="10">
        <f>MEDIAN(IF(S4:S11&gt;0,S4:S11))</f>
        <v/>
      </c>
      <c r="T15" s="10">
        <f>MEDIAN(IF(T4:T11&gt;0,T4:T11))</f>
        <v/>
      </c>
      <c r="U15" s="10">
        <f>MEDIAN(IF(U4:U11&gt;0,U4:U11))</f>
        <v/>
      </c>
      <c r="V15" s="10">
        <f>MEDIAN(IF(V4:V11&gt;0,V4:V11))</f>
        <v/>
      </c>
    </row>
    <row r="18">
      <c r="A18" s="12" t="inlineStr">
        <is>
          <t>QC CHECKS</t>
        </is>
      </c>
    </row>
    <row r="19">
      <c r="A19" t="inlineStr">
        <is>
          <t>EV Bridge check (EV ≈ Market Cap + Net Debt)</t>
        </is>
      </c>
      <c r="G19">
        <f>SUMPRODUCT(--(ABS(I4:I11-(H4:H11+J4:J11))&gt;0.5))</f>
        <v/>
      </c>
      <c r="H19" t="inlineStr">
        <is>
          <t>flags</t>
        </is>
      </c>
    </row>
    <row r="20">
      <c r="A20" t="inlineStr">
        <is>
          <t>Net debt check (Net Debt = Gross Debt - Cash)</t>
        </is>
      </c>
      <c r="G20">
        <f>SUMPRODUCT(--(ABS(J4:J11-(L4:L11-M4:M11))&gt;0.5))</f>
        <v/>
      </c>
      <c r="H20" t="inlineStr">
        <is>
          <t>flags</t>
        </is>
      </c>
    </row>
  </sheetData>
  <mergeCells count="2">
    <mergeCell ref="A1:V1"/>
    <mergeCell ref="A18:F18"/>
  </mergeCells>
  <conditionalFormatting sqref="R4:R12">
    <cfRule type="cellIs" priority="1" operator="lessThan" dxfId="0">
      <formula>0</formula>
    </cfRule>
  </conditionalFormatting>
  <conditionalFormatting sqref="S4:S12">
    <cfRule type="cellIs" priority="2" operator="lessThan" dxfId="0">
      <formula>0</formula>
    </cfRule>
  </conditionalFormatting>
  <conditionalFormatting sqref="U4:U12">
    <cfRule type="cellIs" priority="3" operator="lessThan" dxfId="0">
      <formula>0</formula>
    </cfRule>
  </conditionalFormatting>
  <conditionalFormatting sqref="V4:V12">
    <cfRule type="cellIs" priority="4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5" customWidth="1" min="4" max="4"/>
    <col width="60" customWidth="1" min="5" max="5"/>
  </cols>
  <sheetData>
    <row r="1">
      <c r="A1" s="13" t="inlineStr">
        <is>
          <t>Peer Rationale &amp; Sources</t>
        </is>
      </c>
    </row>
    <row r="2">
      <c r="A2" t="inlineStr">
        <is>
          <t>As-of timestamp (UTC): 2026-02-19T17:35:42.650851+00:00</t>
        </is>
      </c>
    </row>
    <row r="4">
      <c r="A4" s="14" t="inlineStr">
        <is>
          <t>Peer</t>
        </is>
      </c>
      <c r="B4" s="14" t="inlineStr">
        <is>
          <t>Ticker</t>
        </is>
      </c>
      <c r="C4" s="14" t="inlineStr">
        <is>
          <t>Segment/Fit note</t>
        </is>
      </c>
      <c r="D4" s="14" t="inlineStr">
        <is>
          <t>Selection rationale</t>
        </is>
      </c>
      <c r="E4" s="14" t="inlineStr">
        <is>
          <t>Source / as-of notes</t>
        </is>
      </c>
    </row>
    <row r="5">
      <c r="A5" s="15" t="inlineStr">
        <is>
          <t>Aalberts</t>
        </is>
      </c>
      <c r="B5" s="15" t="inlineStr">
        <is>
          <t>AALB.AS</t>
        </is>
      </c>
      <c r="C5" s="15" t="inlineStr">
        <is>
          <t>Automation|Connectivity</t>
        </is>
      </c>
      <c r="D5" s="15" t="inlineStr">
        <is>
          <t>Closest diversified industrial technology peer</t>
        </is>
      </c>
      <c r="E5" s="15" t="inlineStr">
        <is>
          <t>Price/Cap/EV/ND: Yahoo Finance (AALB.AS); EV: Yahoo Finance (AALB.AS); Net debt: Yahoo Finance (AALB.AS); Beta: Yahoo/peer model (2026-02-19T17:35:42.650851+00:00)</t>
        </is>
      </c>
    </row>
    <row r="6">
      <c r="A6" s="15" t="inlineStr">
        <is>
          <t>Dürr AG</t>
        </is>
      </c>
      <c r="B6" s="15" t="inlineStr">
        <is>
          <t>DUE.DE</t>
        </is>
      </c>
      <c r="C6" s="15" t="inlineStr">
        <is>
          <t>Automation</t>
        </is>
      </c>
      <c r="D6" s="15" t="inlineStr">
        <is>
          <t>Industrial automation/manufacturing systems exposure comparable to TKH</t>
        </is>
      </c>
      <c r="E6" s="15" t="inlineStr">
        <is>
          <t>Price/Cap/EV/ND: Yahoo Finance (DUE.DE); EV: Yahoo Finance (DUE.DE); Net debt: Yahoo Finance (DUE.DE); Beta: Yahoo/peer model (2026-02-19T17:35:42.650851+00:00)</t>
        </is>
      </c>
    </row>
    <row r="7">
      <c r="A7" s="15" t="inlineStr">
        <is>
          <t>Basler</t>
        </is>
      </c>
      <c r="B7" s="15" t="inlineStr">
        <is>
          <t>BSL.DE</t>
        </is>
      </c>
      <c r="C7" s="15" t="inlineStr">
        <is>
          <t>Vision</t>
        </is>
      </c>
      <c r="D7" s="15" t="inlineStr">
        <is>
          <t>Machine vision pure-play (segment comparable but volatile)</t>
        </is>
      </c>
      <c r="E7" s="15" t="inlineStr">
        <is>
          <t>Price/Cap/EV/ND: Yahoo Finance (BSL.DE); EV: Yahoo Finance (BSL.DE); Net debt: Yahoo Finance (BSL.DE); Beta: Yahoo/peer model (2026-02-19T17:35:42.650851+00:00)</t>
        </is>
      </c>
    </row>
    <row r="8">
      <c r="A8" s="15" t="inlineStr">
        <is>
          <t>Cognex</t>
        </is>
      </c>
      <c r="B8" s="15" t="inlineStr">
        <is>
          <t>CGNX</t>
        </is>
      </c>
      <c r="C8" s="15" t="inlineStr">
        <is>
          <t>Vision</t>
        </is>
      </c>
      <c r="D8" s="15" t="inlineStr">
        <is>
          <t>Global machine vision benchmark (premium valuation profile)</t>
        </is>
      </c>
      <c r="E8" s="15" t="inlineStr">
        <is>
          <t>Price/Cap/EV/ND: Yahoo Finance (CGNX); EV: Yahoo Finance (CGNX); Net debt: WRDS; Beta: Yahoo/peer model (2026-02-19T17:35:42.650851+00:00)</t>
        </is>
      </c>
    </row>
    <row r="9">
      <c r="A9" s="15" t="inlineStr">
        <is>
          <t>Jenoptik</t>
        </is>
      </c>
      <c r="B9" s="15" t="inlineStr">
        <is>
          <t>JEN.DE</t>
        </is>
      </c>
      <c r="C9" s="15" t="inlineStr">
        <is>
          <t>Vision|Automation</t>
        </is>
      </c>
      <c r="D9" s="15" t="inlineStr">
        <is>
          <t>Photonics and optical systems overlap with smart vision/inspection</t>
        </is>
      </c>
      <c r="E9" s="15" t="inlineStr">
        <is>
          <t>Price/Cap/EV/ND: Yahoo Finance (JEN.DE); EV: Yahoo Finance (JEN.DE); Net debt: Yahoo Finance (JEN.DE); Beta: Yahoo/peer model (2026-02-19T17:35:42.650851+00:00)</t>
        </is>
      </c>
    </row>
    <row r="10">
      <c r="A10" s="15" t="inlineStr">
        <is>
          <t>Huber+Suhner</t>
        </is>
      </c>
      <c r="B10" s="15" t="inlineStr">
        <is>
          <t>HUBN.SW</t>
        </is>
      </c>
      <c r="C10" s="15" t="inlineStr">
        <is>
          <t>Connectivity</t>
        </is>
      </c>
      <c r="D10" s="15" t="inlineStr">
        <is>
          <t>Connectivity and industrial cabling exposure</t>
        </is>
      </c>
      <c r="E10" s="15" t="inlineStr">
        <is>
          <t>Price/Cap/EV/ND: Yahoo Finance (HUBN.SW); EV: Yahoo Finance (HUBN.SW); Net debt: MISSING SOURCE; Beta: Yahoo/peer model (2026-02-19T17:35:42.650851+00:00)</t>
        </is>
      </c>
    </row>
    <row r="11">
      <c r="A11" s="15" t="inlineStr">
        <is>
          <t>NKT</t>
        </is>
      </c>
      <c r="B11" s="15" t="inlineStr">
        <is>
          <t>NKT.CO</t>
        </is>
      </c>
      <c r="C11" s="15" t="inlineStr">
        <is>
          <t>Electrification</t>
        </is>
      </c>
      <c r="D11" s="15" t="inlineStr">
        <is>
          <t>Electrification-heavy business and weaker fit if segment is divested (exclusion rationale retained from base model).</t>
        </is>
      </c>
      <c r="E11" s="15" t="inlineStr">
        <is>
          <t>Price/Cap/EV/ND: Yahoo Finance (NKT.CO); EV: Yahoo Finance (NKT.CO); Net debt: Yahoo Finance (NKT.CO); Beta: Yahoo/peer model (2026-02-19T17:35:42.650851+00:00)</t>
        </is>
      </c>
    </row>
    <row r="12">
      <c r="A12" s="15" t="inlineStr">
        <is>
          <t>Mersen</t>
        </is>
      </c>
      <c r="B12" s="15" t="inlineStr">
        <is>
          <t>MRN.PA</t>
        </is>
      </c>
      <c r="C12" s="15" t="inlineStr">
        <is>
          <t>Electrification|Components</t>
        </is>
      </c>
      <c r="D12" s="15" t="inlineStr">
        <is>
          <t>Electrical materials/components with weaker systems overlap (exclusion rationale retained from base model).</t>
        </is>
      </c>
      <c r="E12" s="15" t="inlineStr">
        <is>
          <t>Price/Cap/EV/ND: Yahoo Finance (MRN.PA); EV: Yahoo Finance (MRN.PA); Net debt: Yahoo Finance (MRN.PA); Beta: Yahoo/peer model (2026-02-19T17:35:42.650851+00:00)</t>
        </is>
      </c>
    </row>
    <row r="13">
      <c r="A13" s="15" t="inlineStr">
        <is>
          <t>TKH (subject company)</t>
        </is>
      </c>
      <c r="B13" s="15" t="inlineStr">
        <is>
          <t>TWEKA.AS</t>
        </is>
      </c>
      <c r="C13" s="15" t="inlineStr">
        <is>
          <t>TKH subject</t>
        </is>
      </c>
      <c r="D13" s="15" t="inlineStr">
        <is>
          <t>Subject company reference (excluded from peer stats) (exclusion rationale retained from base model).</t>
        </is>
      </c>
      <c r="E13" s="15" t="inlineStr">
        <is>
          <t>Price/Cap/EV/ND: Yahoo Finance (TWEKA.AS); EV: Yahoo Finance (TWEKA.AS); Net debt: Yahoo Finance (TWEKA.AS); Beta: Yahoo/peer model (2026-02-19T17:35:42.650851+00:00)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2026-02-19T23:32:16Z</dcterms:created>
  <dcterms:modified xsi:type="dcterms:W3CDTF">2026-02-19T23:32:16Z</dcterms:modified>
</cp:coreProperties>
</file>